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_OpenClaw" sheetId="1" r:id="rId4"/>
    <sheet state="visible" name="Dashboard" sheetId="2" r:id="rId5"/>
    <sheet state="visible" name="Issue_Hubs" sheetId="3" r:id="rId6"/>
    <sheet state="visible" name="Spoke_Pages" sheetId="4" r:id="rId7"/>
    <sheet state="visible" name="Page_Template" sheetId="5" r:id="rId8"/>
    <sheet state="visible" name="Feedback_System" sheetId="6" r:id="rId9"/>
    <sheet state="visible" name="Bill_Tracking" sheetId="7" r:id="rId10"/>
    <sheet state="visible" name="Sources" sheetId="8" r:id="rId11"/>
    <sheet state="visible" name="Dropdowns" sheetId="9" r:id="rId12"/>
  </sheets>
  <definedNames/>
  <calcPr/>
  <extLst>
    <ext uri="GoogleSheetsCustomDataVersion2">
      <go:sheetsCustomData xmlns:go="http://customooxmlschemas.google.com/" r:id="rId13" roundtripDataChecksum="qmLRcDKBqWu0NYSsoOLg8E8fYez+3azlJa2BZYTerdU="/>
    </ext>
  </extLst>
</workbook>
</file>

<file path=xl/sharedStrings.xml><?xml version="1.0" encoding="utf-8"?>
<sst xmlns="http://schemas.openxmlformats.org/spreadsheetml/2006/main" count="1768" uniqueCount="1156">
  <si>
    <t>OpenClaw Implementation Brief</t>
  </si>
  <si>
    <t>Oregon Senate issue library / topical dominance plan</t>
  </si>
  <si>
    <t>Item</t>
  </si>
  <si>
    <t>Instruction</t>
  </si>
  <si>
    <t>Project</t>
  </si>
  <si>
    <t>Oregon State Senate issue library and public-input content plan for https://oregon-senate.vercel.app/</t>
  </si>
  <si>
    <t>Primary Goal</t>
  </si>
  <si>
    <t>Build topical dominance around Oregon issues without turning pages into candidate opinion or partisan platform pages.</t>
  </si>
  <si>
    <t>Core Framing</t>
  </si>
  <si>
    <t>Every issue page should state that the issue matters to Oregonians, residents may disagree on the best solution, and the campaign wants to know what people actually want represented.</t>
  </si>
  <si>
    <t>Terminology</t>
  </si>
  <si>
    <t>Use 'Issue Listening Pages' or 'Oregon Issue Library' instead of 'Policy Positions' unless the campaign later chooses to publish formal positions.</t>
  </si>
  <si>
    <t>Voice</t>
  </si>
  <si>
    <t>Plain-language, calm, fair, practical, and resident-centered.</t>
  </si>
  <si>
    <t>Avoid</t>
  </si>
  <si>
    <t>Do not label one viewpoint as good/bad, right/wrong, compassionate/cruel, smart/dumb, or partisan. Do not write as if the candidate has already decided.</t>
  </si>
  <si>
    <t>Always Include</t>
  </si>
  <si>
    <t>Public-input CTA, neutral tradeoffs, related issue links, and current bills/policies when available.</t>
  </si>
  <si>
    <t>Website Structure</t>
  </si>
  <si>
    <t>Use /issues as main hub, /issues/{topic} for issue hubs/spokes, and /bills for bill tracking if implemented.</t>
  </si>
  <si>
    <t>Implementation Note</t>
  </si>
  <si>
    <t>Start with Phase 1 issue hubs, then add spoke pages, then add bill pages and feedback results. The content can be built incrementally.</t>
  </si>
  <si>
    <t>Date Prepared</t>
  </si>
  <si>
    <t>2026-06-04</t>
  </si>
  <si>
    <t>Topical Dominance Dashboard</t>
  </si>
  <si>
    <t>Quick counts and implementation priorities for OpenClaw</t>
  </si>
  <si>
    <t>Metric</t>
  </si>
  <si>
    <t>Formula / Value</t>
  </si>
  <si>
    <t>Notes</t>
  </si>
  <si>
    <t>Total issue hubs</t>
  </si>
  <si>
    <t>Main category pages</t>
  </si>
  <si>
    <t>Total spoke pages</t>
  </si>
  <si>
    <t>Explainers, issue briefs, listening pages</t>
  </si>
  <si>
    <t>Phase 1 spoke pages</t>
  </si>
  <si>
    <t>Build first</t>
  </si>
  <si>
    <t>Phase 2 spoke pages</t>
  </si>
  <si>
    <t>Build second</t>
  </si>
  <si>
    <t>Phase 3 spoke pages</t>
  </si>
  <si>
    <t>Build third</t>
  </si>
  <si>
    <t>High priority pages</t>
  </si>
  <si>
    <t>Launch content</t>
  </si>
  <si>
    <t>Medium priority pages</t>
  </si>
  <si>
    <t>Expansion content</t>
  </si>
  <si>
    <t>Low priority pages</t>
  </si>
  <si>
    <t>Long-tail content</t>
  </si>
  <si>
    <t>Listening pages</t>
  </si>
  <si>
    <t>Conversion/input pages</t>
  </si>
  <si>
    <t>Phase</t>
  </si>
  <si>
    <t>Build Focus</t>
  </si>
  <si>
    <t>Recommended Action</t>
  </si>
  <si>
    <t>Phase 1</t>
  </si>
  <si>
    <t>Highest-priority Oregon concerns</t>
  </si>
  <si>
    <t>Build issue hubs and at least 3-5 spokes each; launch feedback modules.</t>
  </si>
  <si>
    <t>Phase 2</t>
  </si>
  <si>
    <t>Topical expansion and trust-building</t>
  </si>
  <si>
    <t>Add rural, economy, environment, civil rights, and accountability depth.</t>
  </si>
  <si>
    <t>Phase 3</t>
  </si>
  <si>
    <t>Long-tail resident-service topics</t>
  </si>
  <si>
    <t>Add seniors/veterans, families/childcare, and technology/privacy pages.</t>
  </si>
  <si>
    <t>Issue Hubs</t>
  </si>
  <si>
    <t>Main topical categories, neutral framing, and feedback prompts</t>
  </si>
  <si>
    <t>Build Priority</t>
  </si>
  <si>
    <t>Issue Hub</t>
  </si>
  <si>
    <t>Recommended URL</t>
  </si>
  <si>
    <t>Primary Search / User Intent</t>
  </si>
  <si>
    <t>Page Purpose</t>
  </si>
  <si>
    <t>Core Subtopics</t>
  </si>
  <si>
    <t>Neutral Framing - View A</t>
  </si>
  <si>
    <t>Neutral Framing - View B</t>
  </si>
  <si>
    <t>Key Tradeoffs</t>
  </si>
  <si>
    <t>Universal Feedback Prompt</t>
  </si>
  <si>
    <t>OpenClaw Implementation Notes</t>
  </si>
  <si>
    <t>Source URLs</t>
  </si>
  <si>
    <t>Housing, Homelessness &amp; Affordability</t>
  </si>
  <si>
    <t>/issues/housing-homelessness-affordability</t>
  </si>
  <si>
    <t>Oregon homelessness, affordable housing, rent, shelter, zoning, land use</t>
  </si>
  <si>
    <t>Create the largest issue hub on the site; explain why housing and homelessness matter without taking a fixed position.</t>
  </si>
  <si>
    <t>Homelessness; shelter capacity; street camping; transitional housing; permanent supportive housing; rent prices; evictions; rental assistance; first-time homebuyers; zoning reform; urban growth boundaries; manufactured housing; senior housing; rural housing; construction costs; permitting; short-term rentals; property taxes; local vs state responsibility.</t>
  </si>
  <si>
    <t>Some residents want more state action: shelters, prevention, affordable housing, mental health/addiction services, rent relief, and faster construction.</t>
  </si>
  <si>
    <t>Others worry about cost, accountability, neighborhood impacts, public camping, land-use protections, and whether programs are producing visible results.</t>
  </si>
  <si>
    <t>Housing supply vs land preservation; compassion vs public order; state funding vs local control; tenant protection vs landlord/property-owner costs.</t>
  </si>
  <si>
    <t>What should Oregon prioritize most: more shelter beds, more affordable housing, stricter public camping rules, addiction/mental health services, rent relief, land use reform, or something else?</t>
  </si>
  <si>
    <t>Add issue explainer, input form, current bills module, and a 'What We’ve Heard So Far' section after feedback exists.</t>
  </si>
  <si>
    <t>https://www.dhmresearch.com/oregonians-hold-contradicting-views-on-housing-issues/ | https://oregonvbc.org/well-being-the-state-of-us/</t>
  </si>
  <si>
    <t>Cost of Living, Taxes &amp; Household Affordability</t>
  </si>
  <si>
    <t>/issues/cost-of-living-taxes</t>
  </si>
  <si>
    <t>Oregon cost of living, taxes, household bills, utility costs, fees</t>
  </si>
  <si>
    <t>Separate household affordability from the general economy so residents can speak directly about pressure on budgets.</t>
  </si>
  <si>
    <t>Groceries; gas; utilities; auto insurance; home insurance; rent; mortgage pressure; property taxes; income taxes; state fees; gas taxes; vehicle fees; Oregon kicker; local taxes; childcare; healthcare costs; budget priorities; government spending accountability.</t>
  </si>
  <si>
    <t>Some residents want lower taxes, fewer fees, and reduced regulation to ease pressure on household budgets.</t>
  </si>
  <si>
    <t>Others want stable funding for schools, roads, healthcare, housing, and safety-net programs, even when that requires revenue.</t>
  </si>
  <si>
    <t>Lower taxes vs program funding; short-term relief vs long-term services; spending cuts vs revenue increases.</t>
  </si>
  <si>
    <t>When Oregon faces a budget shortfall, should lawmakers prioritize cutting spending, raising revenue, reducing regulations to grow the economy, or restructuring existing programs?</t>
  </si>
  <si>
    <t>Include a household-budget lens. Add selectable choices for tax relief, spending reform, revenue, and targeted assistance.</t>
  </si>
  <si>
    <t>https://oregonbusinessindustry.com/januarypoll/ | https://oregonvbc.org/well-being-the-state-of-us/</t>
  </si>
  <si>
    <t>Healthcare, Mental Health &amp; Addiction</t>
  </si>
  <si>
    <t>/issues/healthcare-mental-health-addiction</t>
  </si>
  <si>
    <t>Oregon healthcare, Medicaid, mental health, addiction treatment, fentanyl, Measure 110</t>
  </si>
  <si>
    <t>Unify healthcare access, behavioral health, treatment, and addiction policy while separating facts from opinion.</t>
  </si>
  <si>
    <t>Oregon Health Plan; Medicaid; healthcare affordability; rural healthcare; hospitals; provider shortages; nursing shortages; behavioral health workforce; crisis response; treatment beds; detox; recovery; fentanyl; overdose prevention; Measure 110; HB 4002; deflection; youth mental health; suicide prevention; maternal health; reproductive healthcare; senior care; long-term care; insurance costs.</t>
  </si>
  <si>
    <t>Some residents want more treatment access, prevention, Medicaid stability, crisis response, and rural healthcare support.</t>
  </si>
  <si>
    <t>Others emphasize cost control, program accountability, public disorder, uneven implementation, and whether treatment systems are producing measurable results.</t>
  </si>
  <si>
    <t>Treatment vs enforcement; access vs cost; statewide standards vs county-level implementation; prevention vs consequences.</t>
  </si>
  <si>
    <t>Should Oregon focus more on treatment access, law enforcement accountability, deflection programs, Medicaid stability, rural healthcare, or cost control?</t>
  </si>
  <si>
    <t>Add a plain-language explanation of Measure 110, HB 4002, deflection, and treatment capacity. Avoid framing one side as uncaring.</t>
  </si>
  <si>
    <t>https://www.oregon.gov/oha/ERD/Documents/OHA-2025-End-of-Session-Legislative-Report.pdf | https://www.oregon.gov/oha/erd/pages/oregon-to-receive-%24197.3m-federal-investment-in-rural-healthcare.aspx | https://sos.oregon.gov/audits/Documents/2025-29.pdf</t>
  </si>
  <si>
    <t>Public Safety, Justice &amp; Community Trust</t>
  </si>
  <si>
    <t>/issues/public-safety-justice</t>
  </si>
  <si>
    <t>Oregon public safety, crime, police, courts, victims, public defense</t>
  </si>
  <si>
    <t>Connect safety, justice, addiction, law enforcement, courts, and civil liberties in a balanced issue hub.</t>
  </si>
  <si>
    <t>Property crime; violent crime; drug-related disorder; fentanyl enforcement; deflection vs arrest; police staffing; police accountability; jail capacity; public defense crisis; court backlogs; victim services; domestic violence; juvenile justice; reentry; probation; community violence prevention; emergency response; fire/EMS; school safety; human trafficking; hate crimes.</t>
  </si>
  <si>
    <t>Some residents want stronger enforcement, faster consequences, and more visible public safety.</t>
  </si>
  <si>
    <t>Others want prevention, treatment, accountability, civil-rights protections, and alternatives to incarceration when appropriate.</t>
  </si>
  <si>
    <t>Public order vs civil liberties; enforcement vs treatment; victim support vs offender rehabilitation; police capacity vs police accountability.</t>
  </si>
  <si>
    <t>What balance should Oregon strike between enforcement, treatment, prevention, victim support, police accountability, and court capacity?</t>
  </si>
  <si>
    <t>Use neutral terms such as 'residents disagree on the best balance.' Add separate pathways for victims, families, business owners, and service providers to submit stories.</t>
  </si>
  <si>
    <t>https://sos.oregon.gov/audits/Documents/2025-29.pdf | https://www.pdx.edu/news/psu-researchers-release-final-report-landmark-project-exploring-impacts-measure-110</t>
  </si>
  <si>
    <t>Education, Schools, Youth &amp; Workforce Training</t>
  </si>
  <si>
    <t>/issues/education-youth-workforce</t>
  </si>
  <si>
    <t>Oregon schools, education funding, student outcomes, workforce training</t>
  </si>
  <si>
    <t>Cover both education funding and results, while giving parents, teachers, students, and employers a voice.</t>
  </si>
  <si>
    <t>K-12 funding; funding formula; reading; math; graduation; class sizes; teacher shortages; teacher pay; special education; school safety; student mental health; cell phones; career and technical education; apprenticeships; community colleges; higher education affordability; student debt; rural schools; transportation; nutrition; after-school programs; parent involvement; curriculum transparency; early childhood education; childcare; pre-K.</t>
  </si>
  <si>
    <t>Some residents believe schools need more stable funding, smaller classes, more teachers, and more support staff.</t>
  </si>
  <si>
    <t>Others believe the main issues are accountability, curriculum, administrative spending, transparency, or whether increased funding improves outcomes.</t>
  </si>
  <si>
    <t>Funding vs accountability; state standards vs local control; parent input vs professional curriculum decisions; college pathways vs trades.</t>
  </si>
  <si>
    <t>What should Oregon prioritize first in education: funding, accountability, teacher retention, career training, student safety, parent involvement, or academic outcomes?</t>
  </si>
  <si>
    <t>Create feedback paths for parents, teachers, students, and employers. Add CTE/workforce pages so this does not become only a K-12 hub.</t>
  </si>
  <si>
    <t>https://www.oregon.gov/ode/about-us/pages/education%20update%20pages/apr2026edupdate.aspx</t>
  </si>
  <si>
    <t>Transportation, Roads &amp; Infrastructure</t>
  </si>
  <si>
    <t>/issues/transportation-infrastructure</t>
  </si>
  <si>
    <t>Oregon transportation funding, road maintenance, gas tax, vehicle fees, ODOT</t>
  </si>
  <si>
    <t>Explain roads, bridges, fees, transportation funding, and local infrastructure in plain language.</t>
  </si>
  <si>
    <t>Road maintenance; potholes; State Highway Fund; gas taxes; vehicle fees; ODOT funding; county roads; rural roads; bridges; seismic upgrades; transit; freight; trucking; bike/pedestrian safety; school transportation; EV charging; broadband; water/sewer infrastructure; ports; rail; airports; emergency routes; infrastructure accountability.</t>
  </si>
  <si>
    <t>Some residents want stable funding to maintain roads, bridges, transit, and emergency routes.</t>
  </si>
  <si>
    <t>Others oppose higher gas taxes and fees, especially while household costs are already rising.</t>
  </si>
  <si>
    <t>Road maintenance vs tax/fee increases; urban transit vs rural roads; current maintenance vs future infrastructure; convenience vs cost.</t>
  </si>
  <si>
    <t>Would you support higher transportation taxes or fees if they were dedicated to road maintenance, or should Oregon find another way to fund infrastructure?</t>
  </si>
  <si>
    <t>Add a 'where should money go?' input tool: local roads, highways, bridges, transit, freight, safety, rural access, or audits first.</t>
  </si>
  <si>
    <t>https://oregoncounties.org/transportation-funding-bill-set-to-pass-in-special-session/</t>
  </si>
  <si>
    <t>Wildfire, Drought, Water &amp; Emergency Resilience</t>
  </si>
  <si>
    <t>/issues/wildfire-drought-water</t>
  </si>
  <si>
    <t>Oregon wildfire, drought, water rights, snowpack, irrigation, emergency readiness</t>
  </si>
  <si>
    <t>Create a major hub for wildfire, water, drought, insurance, smoke, emergency response, and natural-resource conflict.</t>
  </si>
  <si>
    <t>Wildfire prevention; forest management; fuel reduction; prescribed burns; suppression funding; firefighter staffing; home hardening; insurance; smoke; air quality; evacuation; disaster shelters; rural fire districts; drought declarations; snowpack; irrigation; water rights; groundwater; drinking water; Klamath Basin; fish/farms/cities water conflicts; emergency communication.</t>
  </si>
  <si>
    <t>Some residents want more aggressive forest management, fuel reduction, and protection for rural property owners.</t>
  </si>
  <si>
    <t>Others want climate resilience, ecosystem protections, water conservation, and limits on risky development.</t>
  </si>
  <si>
    <t>Farms vs fish vs cities; property protection vs ecosystem protection; prevention vs suppression; insurance cost vs risk exposure.</t>
  </si>
  <si>
    <t>When water or wildfire resources are limited, how should Oregon balance farms, homes, forests, fish, cities, and rural communities?</t>
  </si>
  <si>
    <t>Use regional examples carefully. Add a feedback field asking whether the user is rural, urban, agricultural, forest-adjacent, or affected by smoke/fire.</t>
  </si>
  <si>
    <t>https://www.oregonlegislature.gov/lpro/Publications/Wildfire%20Policy%20Development%202013-2025.pdf | https://www.axios.com/local/portland/2026/05/13/oregon-snow-drought-raises-irrigation-fears</t>
  </si>
  <si>
    <t>Jobs, Small Business &amp; Oregon's Economy</t>
  </si>
  <si>
    <t>/issues/jobs-small-business-economy</t>
  </si>
  <si>
    <t>Oregon economy, small business costs, jobs, wages, regulations, workforce</t>
  </si>
  <si>
    <t>Speak to workers, employers, entrepreneurs, rural industries, and people worried about Oregon's economic direction.</t>
  </si>
  <si>
    <t>Small business costs; permitting; licensing; regulations; employer taxes; workforce shortages; apprenticeships; trades; manufacturing; technology jobs; agriculture; timber; tourism; Main Street businesses; rural development; minimum wage; paid leave; unemployment insurance; striking worker benefits; entrepreneurship; procurement; local businesses; economic development incentives; tariffs; supply chains; business retention.</t>
  </si>
  <si>
    <t>Some residents want Oregon to reduce business burdens, taxes, and permitting delays to create jobs.</t>
  </si>
  <si>
    <t>Others want strong worker protections, paid leave, fair wages, and safeguards against corporate abuse.</t>
  </si>
  <si>
    <t>Wages vs employer costs; regulation vs business flexibility; job growth vs worker protection; incentives vs public accountability.</t>
  </si>
  <si>
    <t>What would help your household or business most: lower taxes, better wages, fewer regulations, workforce training, childcare support, easier permitting, or stronger worker protections?</t>
  </si>
  <si>
    <t>Create separate form fields for worker, employer, self-employed, unemployed, retired, student, and caregiver perspectives.</t>
  </si>
  <si>
    <t>https://oregonbusinessindustry.com/januarypoll/</t>
  </si>
  <si>
    <t>Rural Oregon, Agriculture, Timber &amp; Local Control</t>
  </si>
  <si>
    <t>/issues/rural-oregon-agriculture-timber</t>
  </si>
  <si>
    <t>Rural Oregon, agriculture, timber, local control, rural healthcare, rural roads</t>
  </si>
  <si>
    <t>Give rural communities their own hub instead of burying rural topics under economy or environment.</t>
  </si>
  <si>
    <t>Agriculture; irrigation; drought; farm labor; farmworker housing; timber jobs; forest policy; rural roads; broadband; rural schools; rural healthcare; rural hospitals; emergency response; wildfire insurance; property rights; land use restrictions; local control; hunting/fishing; tourism; Main Street rural business; county funding; Tribal communities; coastal fishing communities.</t>
  </si>
  <si>
    <t>Some residents want the state to better protect rural jobs, property rights, agriculture, timber, and local decision-making.</t>
  </si>
  <si>
    <t>Others want statewide standards for land, water, labor, environmental protection, and public health.</t>
  </si>
  <si>
    <t>Local control vs statewide standards; resource jobs vs conservation; property rights vs shared resources; rural cost burden vs urban policy priorities.</t>
  </si>
  <si>
    <t>What do rural communities need most from the Oregon Legislature: water security, healthcare, jobs, roads, wildfire protection, broadband, local control, or something else?</t>
  </si>
  <si>
    <t>Add location/context fields to feedback. Ask whether a respondent lives in a rural, suburban, small-town, or metro area.</t>
  </si>
  <si>
    <t>https://www.axios.com/local/portland/2026/05/13/oregon-snow-drought-raises-irrigation-fears | https://www.oregonlegislature.gov/lpro/Publications/Wildfire%20Policy%20Development%202013-2025.pdf</t>
  </si>
  <si>
    <t>Environment, Land Use, Energy &amp; Natural Resources</t>
  </si>
  <si>
    <t>/issues/environment-land-use-energy</t>
  </si>
  <si>
    <t>Oregon land use, energy, environment, climate, natural resources, urban growth boundary</t>
  </si>
  <si>
    <t>Cover environmental policy as a tradeoff issue involving conservation, housing, jobs, energy, and property rights.</t>
  </si>
  <si>
    <t>Land use planning; urban growth boundaries; farm/forest land preservation; housing expansion; renewable energy; energy affordability; grid reliability; carbon policy; climate resilience; natural and working lands; timber; salmon; fish habitat; wildlife; coast; plastic pollution; recycling; air quality; water quality; public lands; recreation access; mining; aggregate resources; environmental permitting.</t>
  </si>
  <si>
    <t>Some residents prioritize conservation, climate action, clean water, air quality, habitat, and long-term environmental health.</t>
  </si>
  <si>
    <t>Others prioritize housing supply, rural jobs, affordable energy, property rights, and regulatory flexibility.</t>
  </si>
  <si>
    <t>Conservation vs growth; renewable goals vs affordability/reliability; statewide land-use rules vs local flexibility; permitting speed vs safeguards.</t>
  </si>
  <si>
    <t>Where should Oregon draw the line between environmental protection, housing growth, rural jobs, and energy affordability?</t>
  </si>
  <si>
    <t>Cross-link to Housing, Rural Oregon, Wildfire/Water, and Transportation. Add energy affordability as a major subtopic.</t>
  </si>
  <si>
    <t>https://www.oregon.gov/lcd/NN/Documents/2025_Legislative_Report.pdf</t>
  </si>
  <si>
    <t>Civil Rights, Personal Freedom &amp; Community Protections</t>
  </si>
  <si>
    <t>/issues/civil-rights-personal-freedom</t>
  </si>
  <si>
    <t>Oregon civil rights, personal freedom, parental rights, gun laws, sanctuary laws, reproductive rights</t>
  </si>
  <si>
    <t>Frame culture-sensitive issues around freedoms, protections, and tradeoffs rather than partisan labels.</t>
  </si>
  <si>
    <t>Free speech; religious liberty; reproductive rights; abortion; IVF; contraception; LGBTQ+ rights; gender-affirming care; same-sex marriage protections; parental rights; curriculum transparency; gun rights; gun safety; Measure 114; immigration; sanctuary laws; racial equity; disability rights; Tribal sovereignty; data privacy; digital surveillance; equal protection; hate crimes; public accommodation.</t>
  </si>
  <si>
    <t>Some residents focus on protecting individual rights, bodily autonomy, privacy, and equal treatment.</t>
  </si>
  <si>
    <t>Others focus on parental authority, religious liberty, gun rights, public safety, and limits on government mandates.</t>
  </si>
  <si>
    <t>Individual liberty vs community safety; privacy vs enforcement; parental rights vs student rights; equal protection vs local discretion.</t>
  </si>
  <si>
    <t>Which personal freedoms or community protections do you most want your State Senator to defend, and where do you believe the state should set limits?</t>
  </si>
  <si>
    <t>Avoid culture-war copy. Use 'residents define freedom and safety differently' as the central frame.</t>
  </si>
  <si>
    <t>https://www.doj.state.or.us/oregon-department-of-justice/civil-rights/sanctuary-promise/ | https://www.opb.org/article/2025/04/11/firearms-guns-oregon-gun-legislation-regulation-rapid-fire-devices-waiting-period-measure-114/</t>
  </si>
  <si>
    <t>Government Accountability, Elections &amp; Direct Representation</t>
  </si>
  <si>
    <t>/issues/government-accountability-elections</t>
  </si>
  <si>
    <t>Oregon government accountability, elections, campaign finance, direct representation</t>
  </si>
  <si>
    <t>Make this the signature campaign issue: how residents guide votes, how input is verified, and how transparency works.</t>
  </si>
  <si>
    <t>Campaign finance; lobbyist influence; public records; transparency; budget accountability; ethics; legislative accountability; constituent polling; secure feedback; town halls; ballot measures; election security; election access; ranked-choice voting; open primaries; redistricting; public voter guides; plain-language bill summaries; measuring district consensus; preventing manipulation.</t>
  </si>
  <si>
    <t>Some residents want more direct democracy, transparency, and limits on money in politics.</t>
  </si>
  <si>
    <t>Others worry about online polling security, mob rule, low-information voting, or whether representatives need judgment in complex situations.</t>
  </si>
  <si>
    <t>Direct voter input vs representative judgment; access vs security; transparency vs privacy; speed vs deliberation.</t>
  </si>
  <si>
    <t>How should a State Senator measure the will of the district: online polls, town halls, statistically valid surveys, public comments, advisory votes, or a mix?</t>
  </si>
  <si>
    <t>This page should explain the methodology behind the campaign's interactive feature and how results should be summarized publicly.</t>
  </si>
  <si>
    <t>https://sos.oregon.gov/elections/Pages/campaign-finance-legislation.aspx | https://oregon-senate.vercel.app/issues</t>
  </si>
  <si>
    <t>Seniors, Veterans, Disability &amp; Caregiving</t>
  </si>
  <si>
    <t>/issues/seniors-veterans-disability-caregiving</t>
  </si>
  <si>
    <t>Oregon seniors, veterans, disability services, caregiving, long-term care</t>
  </si>
  <si>
    <t>Create a service-and-support hub for residents who often interact with state programs directly.</t>
  </si>
  <si>
    <t>Senior housing; long-term care; in-home care; nursing homes; caregiver support; elder abuse; retirement affordability; prescription drug costs; property taxes on seniors; disability services; accessibility; veterans' benefits; rural veteran healthcare; homeless veterans; veteran mental health; transportation for seniors and disabled residents.</t>
  </si>
  <si>
    <t>Some residents want more state support for seniors, veterans, caregivers, and people with disabilities.</t>
  </si>
  <si>
    <t>Others worry about long-term cost, eligibility rules, bureaucracy, and whether programs reach the people who need them most.</t>
  </si>
  <si>
    <t>Support services vs taxpayer cost; eligibility control vs access; institutional care vs in-home care; state programs vs family/community support.</t>
  </si>
  <si>
    <t>What support should Oregon prioritize for seniors, veterans, people with disabilities, and caregivers?</t>
  </si>
  <si>
    <t>Add story-based input fields because lived experience matters here. Include caregiver, veteran, senior, disabled resident, and family-member respondent options.</t>
  </si>
  <si>
    <t>https://www.oregon.gov/oha/ERD/Documents/OHA-2025-End-of-Session-Legislative-Report.pdf</t>
  </si>
  <si>
    <t>Families, Childcare &amp; Community Stability</t>
  </si>
  <si>
    <t>/issues/families-childcare-community</t>
  </si>
  <si>
    <t>Oregon childcare, families, foster care, food insecurity, youth programs</t>
  </si>
  <si>
    <t>Cover family stability, childcare, foster care, prevention, and community supports.</t>
  </si>
  <si>
    <t>Childcare affordability; paid family leave; foster care; adoption; family court; domestic violence services; youth programs; food insecurity; community centers; parks; recreation; libraries; local nonprofits; teen mental health; working parents; family homelessness.</t>
  </si>
  <si>
    <t>Some residents want more state investment in childcare, families, and prevention programs.</t>
  </si>
  <si>
    <t>Others want lower costs, less bureaucracy, more local control, or stronger accountability for program outcomes.</t>
  </si>
  <si>
    <t>Affordability support vs budget impact; state services vs family responsibility; prevention vs crisis response; universal programs vs targeted aid.</t>
  </si>
  <si>
    <t>What would make the biggest difference for families in your community: childcare, safety, housing, food, youth programs, paid leave, or local services?</t>
  </si>
  <si>
    <t>Cross-link to Education, Housing, Healthcare, and Cost of Living. This cluster should feel practical, not ideological.</t>
  </si>
  <si>
    <t>https://oregonvbc.org/well-being-the-state-of-us/</t>
  </si>
  <si>
    <t>Technology, Privacy, Cybersecurity &amp; AI in Government</t>
  </si>
  <si>
    <t>/issues/technology-privacy-ai</t>
  </si>
  <si>
    <t>Oregon technology, privacy, cybersecurity, AI in government, digital access</t>
  </si>
  <si>
    <t>Support the campaign's digital-feedback concept while showing the site takes privacy and manipulation concerns seriously.</t>
  </si>
  <si>
    <t>Online feedback portals; voter verification; cybersecurity; data privacy; AI in government; algorithmic transparency; government efficiency; digital access; rural broadband; online services; public records modernization; child online safety; digital scams; fraud; privacy protections for health and location data.</t>
  </si>
  <si>
    <t>Some residents want modern digital government, faster services, better access, and more efficient public systems.</t>
  </si>
  <si>
    <t>Others worry about privacy, hacking, surveillance, unequal access, AI bias, and whether online tools can be trusted.</t>
  </si>
  <si>
    <t>Convenience vs privacy; digital access vs exclusion; AI efficiency vs accountability; open feedback vs manipulation prevention.</t>
  </si>
  <si>
    <t>How should Oregon use technology in government while protecting privacy, security, fairness, and public trust?</t>
  </si>
  <si>
    <t>Add clear data-use language near every feedback form. This page should link to privacy practices for the interactive issue feature.</t>
  </si>
  <si>
    <t>https://oregon-senate.vercel.app/issues</t>
  </si>
  <si>
    <t>Spoke Page Plan</t>
  </si>
  <si>
    <t>Specific pages OpenClaw can create under each issue hub</t>
  </si>
  <si>
    <t>Hub Cluster</t>
  </si>
  <si>
    <t>Spoke Page Title</t>
  </si>
  <si>
    <t>URL Slug</t>
  </si>
  <si>
    <t>Content Type</t>
  </si>
  <si>
    <t>Search / Visitor Intent</t>
  </si>
  <si>
    <t>Neutral Angle</t>
  </si>
  <si>
    <t>Feedback CTA Question</t>
  </si>
  <si>
    <t>Priority</t>
  </si>
  <si>
    <t>Status</t>
  </si>
  <si>
    <t>SEO Title</t>
  </si>
  <si>
    <t>Meta Description</t>
  </si>
  <si>
    <t>OpenClaw Notes</t>
  </si>
  <si>
    <t>Internal Links</t>
  </si>
  <si>
    <t>Oregon Homelessness Explained</t>
  </si>
  <si>
    <t>/issues/oregon-homelessness-explained</t>
  </si>
  <si>
    <t>Explainer</t>
  </si>
  <si>
    <t>Understand causes, public impacts, and policy options</t>
  </si>
  <si>
    <t>Explain shelter, housing, addiction, mental health, public space, and local/state responsibility without blaming one group.</t>
  </si>
  <si>
    <t>What outcome would you most want from Oregon homelessness policy?</t>
  </si>
  <si>
    <t>High</t>
  </si>
  <si>
    <t>Not Started</t>
  </si>
  <si>
    <t>Oregon Homelessness Explained | Oregon Issue Listening</t>
  </si>
  <si>
    <t>Learn why oregon homelessness explained matters to Oregonians, compare common viewpoints, and share what you want represented.</t>
  </si>
  <si>
    <t>Use the standard issue-page template. Keep copy neutral and end with public-input module.</t>
  </si>
  <si>
    <t>Housing hub; Public Safety; Healthcare</t>
  </si>
  <si>
    <t>Public Camping and Community Spaces in Oregon</t>
  </si>
  <si>
    <t>/issues/public-camping-and-community-spaces-in-oregon</t>
  </si>
  <si>
    <t>Issue Brief</t>
  </si>
  <si>
    <t>Find balanced information about camping rules and public spaces</t>
  </si>
  <si>
    <t>Frame as public order, dignity, safety, sanitation, enforcement, and shelter availability.</t>
  </si>
  <si>
    <t>How should Oregon balance public spaces, safety, compassion, and shelter access?</t>
  </si>
  <si>
    <t>Public Camping and Community Spaces in Oregon | Oregon Issue Listening</t>
  </si>
  <si>
    <t>Learn why public camping and community spaces in oregon matters to Oregonians, compare common viewpoints, and share what you want represented.</t>
  </si>
  <si>
    <t>Housing hub; Public Safety</t>
  </si>
  <si>
    <t>Affordable Housing Supply and Zoning</t>
  </si>
  <si>
    <t>/issues/affordable-housing-supply-and-zoning</t>
  </si>
  <si>
    <t>Understand zoning and construction barriers</t>
  </si>
  <si>
    <t>Show views around more supply, zoning reform, neighborhood concerns, infrastructure, and land use.</t>
  </si>
  <si>
    <t>Should Oregon prioritize faster housing construction, stronger local control, or land preservation?</t>
  </si>
  <si>
    <t>Affordable Housing Supply and Zoning | Oregon Issue Listening</t>
  </si>
  <si>
    <t>Learn why affordable housing supply and zoning matters to Oregonians, compare common viewpoints, and share what you want represented.</t>
  </si>
  <si>
    <t>Housing hub; Land Use</t>
  </si>
  <si>
    <t>Rent, Evictions, and Tenant Protections</t>
  </si>
  <si>
    <t>/issues/rent-evictions-and-tenant-protections</t>
  </si>
  <si>
    <t>Understand rent pressure and tenant-landlord tradeoffs</t>
  </si>
  <si>
    <t>Cover tenant stability and landlord/property-owner cost concerns together.</t>
  </si>
  <si>
    <t>Where should Oregon draw the line between tenant protection and property-owner flexibility?</t>
  </si>
  <si>
    <t>Rent, Evictions, and Tenant Protections | Oregon Issue Listening</t>
  </si>
  <si>
    <t>Learn why rent, evictions, and tenant protections matters to Oregonians, compare common viewpoints, and share what you want represented.</t>
  </si>
  <si>
    <t>Housing hub; Cost of Living</t>
  </si>
  <si>
    <t>First-Time Homebuyers in Oregon</t>
  </si>
  <si>
    <t>/issues/first-time-homebuyers-in-oregon</t>
  </si>
  <si>
    <t>Find what state policy can and cannot do for buyers</t>
  </si>
  <si>
    <t>Cover down-payment support, supply, interest-rate limits, taxes, and construction costs.</t>
  </si>
  <si>
    <t>What would help first-time buyers most in your community?</t>
  </si>
  <si>
    <t>First-Time Homebuyers in Oregon | Oregon Issue Listening</t>
  </si>
  <si>
    <t>Learn why first-time homebuyers in oregon matters to Oregonians, compare common viewpoints, and share what you want represented.</t>
  </si>
  <si>
    <t>Rural Housing and Manufactured Housing</t>
  </si>
  <si>
    <t>/issues/rural-housing-and-manufactured-housing</t>
  </si>
  <si>
    <t>Understand non-metro housing shortages and options</t>
  </si>
  <si>
    <t>Highlight rural supply, manufactured homes, senior housing, workforce housing, and infrastructure limits.</t>
  </si>
  <si>
    <t>Should Oregon make it easier to build rural and manufactured housing?</t>
  </si>
  <si>
    <t>Rural Housing and Manufactured Housing | Oregon Issue Listening</t>
  </si>
  <si>
    <t>Learn why rural housing and manufactured housing matters to Oregonians, compare common viewpoints, and share what you want represented.</t>
  </si>
  <si>
    <t>Housing hub; Rural Oregon</t>
  </si>
  <si>
    <t>Shelter, Transitional Housing, and Supportive Housing</t>
  </si>
  <si>
    <t>/issues/shelter-transitional-housing-and-supportive-housing</t>
  </si>
  <si>
    <t>Compare different homelessness-response models</t>
  </si>
  <si>
    <t>Explain shelter, transitional, and permanent supportive housing as options with tradeoffs.</t>
  </si>
  <si>
    <t>Which housing response should be expanded first, and why?</t>
  </si>
  <si>
    <t>Shelter, Transitional Housing, and Supportive Housing | Oregon Issue Listening</t>
  </si>
  <si>
    <t>Learn why shelter, transitional housing, and supportive housing matters to Oregonians, compare common viewpoints, and share what you want represented.</t>
  </si>
  <si>
    <t>Housing hub; Healthcare</t>
  </si>
  <si>
    <t>Housing Feedback: Tell Us What You Want</t>
  </si>
  <si>
    <t>/issues/housing-feedback-tell-us-what-you-want</t>
  </si>
  <si>
    <t>Listening Page</t>
  </si>
  <si>
    <t>Submit housing and homelessness input</t>
  </si>
  <si>
    <t>Dedicated feedback page with structured fields and open text.</t>
  </si>
  <si>
    <t>What housing or homelessness issue should your State Senator prioritize?</t>
  </si>
  <si>
    <t>Housing Feedback: Tell Us What You Want | Oregon Issue Listening</t>
  </si>
  <si>
    <t>Learn why housing feedback: tell us what you want matters to Oregonians, compare common viewpoints, and share what you want represented.</t>
  </si>
  <si>
    <t>Housing hub</t>
  </si>
  <si>
    <t>Oregon Cost of Living Concerns</t>
  </si>
  <si>
    <t>/issues/oregon-cost-of-living-concerns</t>
  </si>
  <si>
    <t>Understand why household costs are top concern</t>
  </si>
  <si>
    <t>Cover groceries, utilities, housing, taxes, insurance, childcare, healthcare, and wages.</t>
  </si>
  <si>
    <t>Which household cost is hurting your family the most?</t>
  </si>
  <si>
    <t>Oregon Cost of Living Concerns | Oregon Issue Listening</t>
  </si>
  <si>
    <t>Learn why oregon cost of living concerns matters to Oregonians, compare common viewpoints, and share what you want represented.</t>
  </si>
  <si>
    <t>Cost hub; Economy</t>
  </si>
  <si>
    <t>Oregon Taxes and Fees Explained</t>
  </si>
  <si>
    <t>/issues/oregon-taxes-and-fees-explained</t>
  </si>
  <si>
    <t>Understand state taxes, fees, and budget tradeoffs</t>
  </si>
  <si>
    <t>Explain revenue, services, budget needs, tax burden, and accountability neutrally.</t>
  </si>
  <si>
    <t>Should Oregon lower taxes, change how taxes work, or protect current services?</t>
  </si>
  <si>
    <t>Oregon Taxes and Fees Explained | Oregon Issue Listening</t>
  </si>
  <si>
    <t>Learn why oregon taxes and fees explained matters to Oregonians, compare common viewpoints, and share what you want represented.</t>
  </si>
  <si>
    <t>Cost hub; Accountability</t>
  </si>
  <si>
    <t>Property Taxes and Home Affordability</t>
  </si>
  <si>
    <t>/issues/property-taxes-and-home-affordability</t>
  </si>
  <si>
    <t>Understand property tax pressure</t>
  </si>
  <si>
    <t>Cover homeowners, seniors, schools, local services, renters, and assessed-value complexity.</t>
  </si>
  <si>
    <t>How should Oregon balance property tax relief and local service funding?</t>
  </si>
  <si>
    <t>Property Taxes and Home Affordability | Oregon Issue Listening</t>
  </si>
  <si>
    <t>Learn why property taxes and home affordability matters to Oregonians, compare common viewpoints, and share what you want represented.</t>
  </si>
  <si>
    <t>Cost hub; Housing</t>
  </si>
  <si>
    <t>Utility Bills and Energy Affordability</t>
  </si>
  <si>
    <t>/issues/utility-bills-and-energy-affordability</t>
  </si>
  <si>
    <t>Understand energy costs and reliability</t>
  </si>
  <si>
    <t>Tie affordability to energy policy, grid reliability, climate, and household budgets.</t>
  </si>
  <si>
    <t>What matters most to you: lower bills, reliability, cleaner energy, or long-term infrastructure?</t>
  </si>
  <si>
    <t>Utility Bills and Energy Affordability | Oregon Issue Listening</t>
  </si>
  <si>
    <t>Learn why utility bills and energy affordability matters to Oregonians, compare common viewpoints, and share what you want represented.</t>
  </si>
  <si>
    <t>Cost hub; Energy</t>
  </si>
  <si>
    <t>Childcare Costs and Working Families</t>
  </si>
  <si>
    <t>/issues/childcare-costs-and-working-families</t>
  </si>
  <si>
    <t>Understand childcare affordability as cost-of-living issue</t>
  </si>
  <si>
    <t>Cover working parents, employers, providers, budget cost, and family choice.</t>
  </si>
  <si>
    <t>What should Oregon do about childcare costs, if anything?</t>
  </si>
  <si>
    <t>Childcare Costs and Working Families | Oregon Issue Listening</t>
  </si>
  <si>
    <t>Learn why childcare costs and working families matters to Oregonians, compare common viewpoints, and share what you want represented.</t>
  </si>
  <si>
    <t>Cost hub; Families; Education</t>
  </si>
  <si>
    <t>Oregon Budget Choices: Cut, Raise, or Reform</t>
  </si>
  <si>
    <t>/issues/oregon-budget-choices-cut-raise-or-reform</t>
  </si>
  <si>
    <t>Compare budget options without advocating</t>
  </si>
  <si>
    <t>Show spending cuts, revenue increases, efficiency reforms, and economic growth strategies.</t>
  </si>
  <si>
    <t>When budgets are tight, what should Oregon do first?</t>
  </si>
  <si>
    <t>Oregon Budget Choices: Cut, Raise, or Reform | Oregon Issue Listening</t>
  </si>
  <si>
    <t>Learn why oregon budget choices: cut, raise, or reform matters to Oregonians, compare common viewpoints, and share what you want represented.</t>
  </si>
  <si>
    <t>Insurance Costs in Oregon</t>
  </si>
  <si>
    <t>/issues/insurance-costs-in-oregon</t>
  </si>
  <si>
    <t>Understand auto, home, health, and wildfire insurance concerns</t>
  </si>
  <si>
    <t>Cover cost drivers, regulation, risk, consumer protection, and market stability.</t>
  </si>
  <si>
    <t>Which insurance cost worries you most, and what should the state do?</t>
  </si>
  <si>
    <t>Insurance Costs in Oregon | Oregon Issue Listening</t>
  </si>
  <si>
    <t>Learn why insurance costs in oregon matters to Oregonians, compare common viewpoints, and share what you want represented.</t>
  </si>
  <si>
    <t>Cost hub; Wildfire; Healthcare</t>
  </si>
  <si>
    <t>Cost of Living Feedback</t>
  </si>
  <si>
    <t>/issues/cost-of-living-feedback</t>
  </si>
  <si>
    <t>Submit household affordability input</t>
  </si>
  <si>
    <t>Dedicated page for structured cost-of-living feedback.</t>
  </si>
  <si>
    <t>What affordability issue should your State Senator hear about first?</t>
  </si>
  <si>
    <t>Cost of Living Feedback | Oregon Issue Listening</t>
  </si>
  <si>
    <t>Learn why cost of living feedback matters to Oregonians, compare common viewpoints, and share what you want represented.</t>
  </si>
  <si>
    <t>Cost hub</t>
  </si>
  <si>
    <t>Oregon Health Plan and Medicaid Stability</t>
  </si>
  <si>
    <t>/issues/oregon-health-plan-and-medicaid-stability</t>
  </si>
  <si>
    <t>Understand Medicaid/OHP policy and budget tradeoffs</t>
  </si>
  <si>
    <t>Cover access, cost, rural care, eligibility, providers, and budget stability.</t>
  </si>
  <si>
    <t>What should Oregon prioritize in Medicaid and healthcare access?</t>
  </si>
  <si>
    <t>Oregon Health Plan and Medicaid Stability | Oregon Issue Listening</t>
  </si>
  <si>
    <t>Learn why oregon health plan and medicaid stability matters to Oregonians, compare common viewpoints, and share what you want represented.</t>
  </si>
  <si>
    <t>Healthcare hub; Cost</t>
  </si>
  <si>
    <t>Rural Healthcare Access in Oregon</t>
  </si>
  <si>
    <t>/issues/rural-healthcare-access-in-oregon</t>
  </si>
  <si>
    <t>Understand rural provider and hospital access</t>
  </si>
  <si>
    <t>Cover travel distance, workforce, rural hospitals, telehealth, and funding.</t>
  </si>
  <si>
    <t>What rural healthcare gap should the state address first?</t>
  </si>
  <si>
    <t>Rural Healthcare Access in Oregon | Oregon Issue Listening</t>
  </si>
  <si>
    <t>Learn why rural healthcare access in oregon matters to Oregonians, compare common viewpoints, and share what you want represented.</t>
  </si>
  <si>
    <t>Healthcare hub; Rural Oregon</t>
  </si>
  <si>
    <t>Mental Health Crisis Response</t>
  </si>
  <si>
    <t>/issues/mental-health-crisis-response</t>
  </si>
  <si>
    <t>Understand crisis response and behavioral health gaps</t>
  </si>
  <si>
    <t>Cover crisis teams, law enforcement, treatment, stabilization, and workforce.</t>
  </si>
  <si>
    <t>Who should respond to mental health crises in your community?</t>
  </si>
  <si>
    <t>Mental Health Crisis Response | Oregon Issue Listening</t>
  </si>
  <si>
    <t>Learn why mental health crisis response matters to Oregonians, compare common viewpoints, and share what you want represented.</t>
  </si>
  <si>
    <t>Healthcare hub; Public Safety</t>
  </si>
  <si>
    <t>Addiction Treatment and Recovery Capacity</t>
  </si>
  <si>
    <t>/issues/addiction-treatment-and-recovery-capacity</t>
  </si>
  <si>
    <t>Understand treatment beds, detox, recovery, and funding</t>
  </si>
  <si>
    <t>Frame treatment capacity as both public health and public safety issue.</t>
  </si>
  <si>
    <t>Should Oregon invest more in treatment, enforcement, prevention, or all three?</t>
  </si>
  <si>
    <t>Addiction Treatment and Recovery Capacity | Oregon Issue Listening</t>
  </si>
  <si>
    <t>Learn why addiction treatment and recovery capacity matters to Oregonians, compare common viewpoints, and share what you want represented.</t>
  </si>
  <si>
    <t>Fentanyl and Overdose Prevention in Oregon</t>
  </si>
  <si>
    <t>/issues/fentanyl-and-overdose-prevention-in-oregon</t>
  </si>
  <si>
    <t>Understand fentanyl policy options</t>
  </si>
  <si>
    <t>Cover prevention, enforcement, harm reduction, treatment, and families affected by overdose.</t>
  </si>
  <si>
    <t>What fentanyl response would you support most?</t>
  </si>
  <si>
    <t>Fentanyl and Overdose Prevention in Oregon | Oregon Issue Listening</t>
  </si>
  <si>
    <t>Learn why fentanyl and overdose prevention in oregon matters to Oregonians, compare common viewpoints, and share what you want represented.</t>
  </si>
  <si>
    <t>Measure 110 and HB 4002 Explained</t>
  </si>
  <si>
    <t>/issues/measure-110-and-hb-4002-explained</t>
  </si>
  <si>
    <t>Understand major drug-policy changes</t>
  </si>
  <si>
    <t>Explain decriminalization, recriminalization, deflection, treatment goals, and critiques neutrally.</t>
  </si>
  <si>
    <t>What lesson should Oregon take from Measure 110 and HB 4002?</t>
  </si>
  <si>
    <t>Measure 110 and HB 4002 Explained | Oregon Issue Listening</t>
  </si>
  <si>
    <t>Learn why measure 110 and hb 4002 explained matters to Oregonians, compare common viewpoints, and share what you want represented.</t>
  </si>
  <si>
    <t>Youth Mental Health and Schools</t>
  </si>
  <si>
    <t>/issues/youth-mental-health-and-schools</t>
  </si>
  <si>
    <t>Understand student mental health policy</t>
  </si>
  <si>
    <t>Link families, schools, healthcare providers, crisis systems, and privacy concerns.</t>
  </si>
  <si>
    <t>What youth mental health support should Oregon prioritize?</t>
  </si>
  <si>
    <t>Youth Mental Health and Schools | Oregon Issue Listening</t>
  </si>
  <si>
    <t>Learn why youth mental health and schools matters to Oregonians, compare common viewpoints, and share what you want represented.</t>
  </si>
  <si>
    <t>Healthcare hub; Education; Families</t>
  </si>
  <si>
    <t>Healthcare Feedback</t>
  </si>
  <si>
    <t>/issues/healthcare-feedback</t>
  </si>
  <si>
    <t>Submit healthcare, mental health, and addiction input</t>
  </si>
  <si>
    <t>Structured feedback form with issue category logic.</t>
  </si>
  <si>
    <t>What healthcare or behavioral health issue should your State Senator prioritize?</t>
  </si>
  <si>
    <t>Healthcare Feedback | Oregon Issue Listening</t>
  </si>
  <si>
    <t>Learn why healthcare feedback matters to Oregonians, compare common viewpoints, and share what you want represented.</t>
  </si>
  <si>
    <t>Healthcare hub</t>
  </si>
  <si>
    <t>Public Safety Priorities in Oregon</t>
  </si>
  <si>
    <t>/issues/public-safety-priorities-in-oregon</t>
  </si>
  <si>
    <t>Understand major public safety concerns and options</t>
  </si>
  <si>
    <t>Set a broad, balanced overview covering crime, courts, police, victims, treatment, and prevention.</t>
  </si>
  <si>
    <t>What public safety issue matters most in your community?</t>
  </si>
  <si>
    <t>Public Safety Priorities in Oregon | Oregon Issue Listening</t>
  </si>
  <si>
    <t>Learn why public safety priorities in oregon matters to Oregonians, compare common viewpoints, and share what you want represented.</t>
  </si>
  <si>
    <t>Public Safety hub</t>
  </si>
  <si>
    <t>Property Crime and Community Impacts</t>
  </si>
  <si>
    <t>/issues/property-crime-and-community-impacts</t>
  </si>
  <si>
    <t>Understand property crime impacts</t>
  </si>
  <si>
    <t>Include residents, business owners, law enforcement, courts, poverty, addiction, and prevention.</t>
  </si>
  <si>
    <t>What should Oregon do about property crime?</t>
  </si>
  <si>
    <t>Property Crime and Community Impacts | Oregon Issue Listening</t>
  </si>
  <si>
    <t>Learn why property crime and community impacts matters to Oregonians, compare common viewpoints, and share what you want represented.</t>
  </si>
  <si>
    <t>Public Safety hub; Economy</t>
  </si>
  <si>
    <t>Police Staffing and Accountability</t>
  </si>
  <si>
    <t>/issues/police-staffing-and-accountability</t>
  </si>
  <si>
    <t>Compare staffing needs and accountability expectations</t>
  </si>
  <si>
    <t>Cover response times, recruitment, training, oversight, and public trust.</t>
  </si>
  <si>
    <t>How should Oregon balance police capacity and accountability?</t>
  </si>
  <si>
    <t>Police Staffing and Accountability | Oregon Issue Listening</t>
  </si>
  <si>
    <t>Learn why police staffing and accountability matters to Oregonians, compare common viewpoints, and share what you want represented.</t>
  </si>
  <si>
    <t>Public Safety hub; Accountability</t>
  </si>
  <si>
    <t>Public Defense and Court Backlogs</t>
  </si>
  <si>
    <t>/issues/public-defense-and-court-backlogs</t>
  </si>
  <si>
    <t>Understand court capacity and constitutional issues</t>
  </si>
  <si>
    <t>Explain rights, case delays, victims, accused people, judges, prosecutors, and public defenders.</t>
  </si>
  <si>
    <t>What should Oregon do to make the justice system work faster and fairly?</t>
  </si>
  <si>
    <t>Public Defense and Court Backlogs | Oregon Issue Listening</t>
  </si>
  <si>
    <t>Learn why public defense and court backlogs matters to Oregonians, compare common viewpoints, and share what you want represented.</t>
  </si>
  <si>
    <t>Victim Services and Domestic Violence Support</t>
  </si>
  <si>
    <t>/issues/victim-services-and-domestic-violence-support</t>
  </si>
  <si>
    <t>Understand support needs for victims and survivors</t>
  </si>
  <si>
    <t>Keep the page service-oriented and compassionate while discussing funding and accountability.</t>
  </si>
  <si>
    <t>What victim services should Oregon strengthen?</t>
  </si>
  <si>
    <t>Victim Services and Domestic Violence Support | Oregon Issue Listening</t>
  </si>
  <si>
    <t>Learn why victim services and domestic violence support matters to Oregonians, compare common viewpoints, and share what you want represented.</t>
  </si>
  <si>
    <t>Public Safety hub; Families</t>
  </si>
  <si>
    <t>Juvenile Justice and Prevention</t>
  </si>
  <si>
    <t>/issues/juvenile-justice-and-prevention</t>
  </si>
  <si>
    <t>Understand youth justice and prevention options</t>
  </si>
  <si>
    <t>Cover accountability, prevention, schools, families, youth mental health, and community safety.</t>
  </si>
  <si>
    <t>What should Oregon do when young people commit crimes?</t>
  </si>
  <si>
    <t>Juvenile Justice and Prevention | Oregon Issue Listening</t>
  </si>
  <si>
    <t>Learn why juvenile justice and prevention matters to Oregonians, compare common viewpoints, and share what you want represented.</t>
  </si>
  <si>
    <t>Public Safety hub; Education; Families</t>
  </si>
  <si>
    <t>Fentanyl Enforcement and Deflection</t>
  </si>
  <si>
    <t>/issues/fentanyl-enforcement-and-deflection</t>
  </si>
  <si>
    <t>Understand enforcement/treatment intersection</t>
  </si>
  <si>
    <t>Connect drug policy to public safety and treatment capacity neutrally.</t>
  </si>
  <si>
    <t>Should Oregon lean more toward enforcement, deflection, treatment, or a mix?</t>
  </si>
  <si>
    <t>Fentanyl Enforcement and Deflection | Oregon Issue Listening</t>
  </si>
  <si>
    <t>Learn why fentanyl enforcement and deflection matters to Oregonians, compare common viewpoints, and share what you want represented.</t>
  </si>
  <si>
    <t>Public Safety hub; Healthcare</t>
  </si>
  <si>
    <t>Public Safety Feedback</t>
  </si>
  <si>
    <t>/issues/public-safety-feedback</t>
  </si>
  <si>
    <t>Submit safety and justice input</t>
  </si>
  <si>
    <t>Dedicated safety feedback page with optional respondent type.</t>
  </si>
  <si>
    <t>What safety issue should your State Senator prioritize?</t>
  </si>
  <si>
    <t>Public Safety Feedback | Oregon Issue Listening</t>
  </si>
  <si>
    <t>Learn why public safety feedback matters to Oregonians, compare common viewpoints, and share what you want represented.</t>
  </si>
  <si>
    <t>Oregon School Funding Explained</t>
  </si>
  <si>
    <t>/issues/oregon-school-funding-explained</t>
  </si>
  <si>
    <t>Understand education funding and budget tradeoffs</t>
  </si>
  <si>
    <t>Explain funding sources, rising costs, outcomes, and accountability neutrally.</t>
  </si>
  <si>
    <t>Should Oregon change school funding, accountability rules, or both?</t>
  </si>
  <si>
    <t>Oregon School Funding Explained | Oregon Issue Listening</t>
  </si>
  <si>
    <t>Learn why oregon school funding explained matters to Oregonians, compare common viewpoints, and share what you want represented.</t>
  </si>
  <si>
    <t>Education hub; Cost</t>
  </si>
  <si>
    <t>Student Outcomes: Reading, Math, and Graduation</t>
  </si>
  <si>
    <t>/issues/student-outcomes-reading-math-and-graduation</t>
  </si>
  <si>
    <t>Understand academic outcome concerns</t>
  </si>
  <si>
    <t>Cover student support, standards, curriculum, family factors, funding, and accountability.</t>
  </si>
  <si>
    <t>What should Oregon do first to improve student outcomes?</t>
  </si>
  <si>
    <t>Student Outcomes: Reading, Math, and Graduation | Oregon Issue Listening</t>
  </si>
  <si>
    <t>Learn why student outcomes: reading, math, and graduation matters to Oregonians, compare common viewpoints, and share what you want represented.</t>
  </si>
  <si>
    <t>Education hub</t>
  </si>
  <si>
    <t>Teacher Shortages and Classroom Support</t>
  </si>
  <si>
    <t>/issues/teacher-shortages-and-classroom-support</t>
  </si>
  <si>
    <t>Understand teacher recruitment and retention</t>
  </si>
  <si>
    <t>Cover pay, workload, behavior, training, licensure, and classroom resources.</t>
  </si>
  <si>
    <t>What would help retain strong teachers in Oregon schools?</t>
  </si>
  <si>
    <t>Teacher Shortages and Classroom Support | Oregon Issue Listening</t>
  </si>
  <si>
    <t>Learn why teacher shortages and classroom support matters to Oregonians, compare common viewpoints, and share what you want represented.</t>
  </si>
  <si>
    <t>School Safety and Student Mental Health</t>
  </si>
  <si>
    <t>/issues/school-safety-and-student-mental-health</t>
  </si>
  <si>
    <t>Understand safety and wellness tradeoffs</t>
  </si>
  <si>
    <t>Connect school climate, mental health, discipline, crisis support, and family trust.</t>
  </si>
  <si>
    <t>What school safety or student wellness issue matters most to you?</t>
  </si>
  <si>
    <t>School Safety and Student Mental Health | Oregon Issue Listening</t>
  </si>
  <si>
    <t>Learn why school safety and student mental health matters to Oregonians, compare common viewpoints, and share what you want represented.</t>
  </si>
  <si>
    <t>Education hub; Healthcare; Public Safety</t>
  </si>
  <si>
    <t>Career and Technical Education in Oregon</t>
  </si>
  <si>
    <t>/issues/career-and-technical-education-in-oregon</t>
  </si>
  <si>
    <t>Understand trades, apprenticeships, and career pathways</t>
  </si>
  <si>
    <t>Frame CTE as a bridge between schools, employers, rural communities, and affordability.</t>
  </si>
  <si>
    <t>Should Oregon invest more in trades, college pathways, or both?</t>
  </si>
  <si>
    <t>Career and Technical Education in Oregon | Oregon Issue Listening</t>
  </si>
  <si>
    <t>Learn why career and technical education in oregon matters to Oregonians, compare common viewpoints, and share what you want represented.</t>
  </si>
  <si>
    <t>Education hub; Economy</t>
  </si>
  <si>
    <t>Higher Education and Community College Affordability</t>
  </si>
  <si>
    <t>/issues/higher-education-and-community-college-affordability</t>
  </si>
  <si>
    <t>Understand college/training cost</t>
  </si>
  <si>
    <t>Cover tuition, student debt, workforce needs, community colleges, and accountability.</t>
  </si>
  <si>
    <t>What should Oregon do to make education after high school more useful and affordable?</t>
  </si>
  <si>
    <t>Higher Education and Community College Affordability | Oregon Issue Listening</t>
  </si>
  <si>
    <t>Learn why higher education and community college affordability matters to Oregonians, compare common viewpoints, and share what you want represented.</t>
  </si>
  <si>
    <t>Parent Involvement and Curriculum Transparency</t>
  </si>
  <si>
    <t>/issues/parent-involvement-and-curriculum-transparency</t>
  </si>
  <si>
    <t>Understand parent/school trust concerns</t>
  </si>
  <si>
    <t>Frame around trust, transparency, professional expertise, student rights, and local control.</t>
  </si>
  <si>
    <t>How much say should parents have in curriculum and school policies?</t>
  </si>
  <si>
    <t>Parent Involvement and Curriculum Transparency | Oregon Issue Listening</t>
  </si>
  <si>
    <t>Learn why parent involvement and curriculum transparency matters to Oregonians, compare common viewpoints, and share what you want represented.</t>
  </si>
  <si>
    <t>Education hub; Civil Rights</t>
  </si>
  <si>
    <t>Education Feedback</t>
  </si>
  <si>
    <t>/issues/education-feedback</t>
  </si>
  <si>
    <t>Submit education input</t>
  </si>
  <si>
    <t>Dedicated feedback page for parents, teachers, students, employers, and taxpayers.</t>
  </si>
  <si>
    <t>What education issue should your State Senator prioritize?</t>
  </si>
  <si>
    <t>Education Feedback | Oregon Issue Listening</t>
  </si>
  <si>
    <t>Learn why education feedback matters to Oregonians, compare common viewpoints, and share what you want represented.</t>
  </si>
  <si>
    <t>Oregon Transportation Funding Explained</t>
  </si>
  <si>
    <t>/issues/oregon-transportation-funding-explained</t>
  </si>
  <si>
    <t>Understand road funding, fees, and budget options</t>
  </si>
  <si>
    <t>Explain gas taxes, fees, ODOT, county roads, and accountability.</t>
  </si>
  <si>
    <t>How should Oregon pay for roads and infrastructure?</t>
  </si>
  <si>
    <t>Oregon Transportation Funding Explained | Oregon Issue Listening</t>
  </si>
  <si>
    <t>Learn why oregon transportation funding explained matters to Oregonians, compare common viewpoints, and share what you want represented.</t>
  </si>
  <si>
    <t>Transportation hub; Cost</t>
  </si>
  <si>
    <t>Road Maintenance, Potholes, and Local Streets</t>
  </si>
  <si>
    <t>/issues/road-maintenance-potholes-and-local-streets</t>
  </si>
  <si>
    <t>Understand local road maintenance concerns</t>
  </si>
  <si>
    <t>Cover visible road conditions, funding gaps, rural roads, urban streets, and audits.</t>
  </si>
  <si>
    <t>Where should road money go first in your community?</t>
  </si>
  <si>
    <t>Road Maintenance, Potholes, and Local Streets | Oregon Issue Listening</t>
  </si>
  <si>
    <t>Learn why road maintenance, potholes, and local streets matters to Oregonians, compare common viewpoints, and share what you want represented.</t>
  </si>
  <si>
    <t>Transportation hub</t>
  </si>
  <si>
    <t>Gas Taxes and Vehicle Fees</t>
  </si>
  <si>
    <t>/issues/gas-taxes-and-vehicle-fees</t>
  </si>
  <si>
    <t>Understand transportation revenue options</t>
  </si>
  <si>
    <t>Compare dedicated road funding with household cost concerns.</t>
  </si>
  <si>
    <t>Would you support higher fees if the money was restricted to roads?</t>
  </si>
  <si>
    <t>Gas Taxes and Vehicle Fees | Oregon Issue Listening</t>
  </si>
  <si>
    <t>Learn why gas taxes and vehicle fees matters to Oregonians, compare common viewpoints, and share what you want represented.</t>
  </si>
  <si>
    <t>ODOT Accountability and Project Priorities</t>
  </si>
  <si>
    <t>/issues/odot-accountability-and-project-priorities</t>
  </si>
  <si>
    <t>Understand transportation agency trust and oversight</t>
  </si>
  <si>
    <t>Cover project delivery, audits, staffing, maintenance, and transparency.</t>
  </si>
  <si>
    <t>What accountability should Oregon require before raising transportation revenue?</t>
  </si>
  <si>
    <t>ODOT Accountability and Project Priorities | Oregon Issue Listening</t>
  </si>
  <si>
    <t>Learn why odot accountability and project priorities matters to Oregonians, compare common viewpoints, and share what you want represented.</t>
  </si>
  <si>
    <t>Transportation hub; Accountability</t>
  </si>
  <si>
    <t>Rural Roads and Emergency Routes</t>
  </si>
  <si>
    <t>/issues/rural-roads-and-emergency-routes</t>
  </si>
  <si>
    <t>Understand rural transportation needs</t>
  </si>
  <si>
    <t>Link road maintenance to emergency response, wildfire evacuation, freight, and access.</t>
  </si>
  <si>
    <t>What rural road or emergency-route issue should be fixed first?</t>
  </si>
  <si>
    <t>Rural Roads and Emergency Routes | Oregon Issue Listening</t>
  </si>
  <si>
    <t>Learn why rural roads and emergency routes matters to Oregonians, compare common viewpoints, and share what you want represented.</t>
  </si>
  <si>
    <t>Transportation hub; Rural; Wildfire</t>
  </si>
  <si>
    <t>Public Transit, Freight, and Mobility</t>
  </si>
  <si>
    <t>/issues/public-transit-freight-and-mobility</t>
  </si>
  <si>
    <t>Understand mobility options and tradeoffs</t>
  </si>
  <si>
    <t>Cover transit riders, freight movement, business needs, accessibility, and cost.</t>
  </si>
  <si>
    <t>What transportation option deserves more attention in your area?</t>
  </si>
  <si>
    <t>Public Transit, Freight, and Mobility | Oregon Issue Listening</t>
  </si>
  <si>
    <t>Learn why public transit, freight, and mobility matters to Oregonians, compare common viewpoints, and share what you want represented.</t>
  </si>
  <si>
    <t>Transportation hub; Economy</t>
  </si>
  <si>
    <t>Bridges and Seismic Resilience</t>
  </si>
  <si>
    <t>/issues/bridges-and-seismic-resilience</t>
  </si>
  <si>
    <t>Understand infrastructure resilience</t>
  </si>
  <si>
    <t>Explain bridges, earthquakes, freight, emergency response, and long-term capital planning.</t>
  </si>
  <si>
    <t>Should Oregon prioritize bridge/seismic upgrades even if they cost more now?</t>
  </si>
  <si>
    <t>Bridges and Seismic Resilience | Oregon Issue Listening</t>
  </si>
  <si>
    <t>Learn why bridges and seismic resilience matters to Oregonians, compare common viewpoints, and share what you want represented.</t>
  </si>
  <si>
    <t>Transportation hub; Wildfire</t>
  </si>
  <si>
    <t>Transportation Feedback</t>
  </si>
  <si>
    <t>/issues/transportation-feedback</t>
  </si>
  <si>
    <t>Submit transportation input</t>
  </si>
  <si>
    <t>Dedicated transportation feedback page.</t>
  </si>
  <si>
    <t>What transportation or infrastructure issue should your State Senator prioritize?</t>
  </si>
  <si>
    <t>Transportation Feedback | Oregon Issue Listening</t>
  </si>
  <si>
    <t>Learn why transportation feedback matters to Oregonians, compare common viewpoints, and share what you want represented.</t>
  </si>
  <si>
    <t>Oregon Wildfire Policy Explained</t>
  </si>
  <si>
    <t>/issues/oregon-wildfire-policy-explained</t>
  </si>
  <si>
    <t>Understand prevention, suppression, and resilience</t>
  </si>
  <si>
    <t>Cover home hardening, fuels, suppression, insurance, smoke, rural districts, and state funding.</t>
  </si>
  <si>
    <t>What wildfire policy should Oregon prioritize?</t>
  </si>
  <si>
    <t>Oregon Wildfire Policy Explained | Oregon Issue Listening</t>
  </si>
  <si>
    <t>Learn why oregon wildfire policy explained matters to Oregonians, compare common viewpoints, and share what you want represented.</t>
  </si>
  <si>
    <t>Wildfire hub; Rural</t>
  </si>
  <si>
    <t>Forest Management and Fuel Reduction</t>
  </si>
  <si>
    <t>/issues/forest-management-and-fuel-reduction</t>
  </si>
  <si>
    <t>Understand forest management disagreements</t>
  </si>
  <si>
    <t>Frame timber, ecology, fire risk, prescribed burn, smoke, and property protection as tradeoffs.</t>
  </si>
  <si>
    <t>Should Oregon do more forest thinning, prescribed burning, conservation, or something else?</t>
  </si>
  <si>
    <t>Forest Management and Fuel Reduction | Oregon Issue Listening</t>
  </si>
  <si>
    <t>Learn why forest management and fuel reduction matters to Oregonians, compare common viewpoints, and share what you want represented.</t>
  </si>
  <si>
    <t>Wildfire hub; Environment; Rural</t>
  </si>
  <si>
    <t>Wildfire Insurance and Home Hardening</t>
  </si>
  <si>
    <t>/issues/wildfire-insurance-and-home-hardening</t>
  </si>
  <si>
    <t>Understand insurance pressure and property resilience</t>
  </si>
  <si>
    <t>Cover risk pricing, consumer protection, building standards, and rural affordability.</t>
  </si>
  <si>
    <t>What should Oregon do about wildfire insurance?</t>
  </si>
  <si>
    <t>Wildfire Insurance and Home Hardening | Oregon Issue Listening</t>
  </si>
  <si>
    <t>Learn why wildfire insurance and home hardening matters to Oregonians, compare common viewpoints, and share what you want represented.</t>
  </si>
  <si>
    <t>Wildfire hub; Cost</t>
  </si>
  <si>
    <t>Smoke, Air Quality, and Public Health</t>
  </si>
  <si>
    <t>/issues/smoke-air-quality-and-public-health</t>
  </si>
  <si>
    <t>Understand smoke impacts and health policy</t>
  </si>
  <si>
    <t>Connect wildfire, prescribed burns, schools, healthcare, outdoor workers, and vulnerable residents.</t>
  </si>
  <si>
    <t>How should Oregon reduce smoke impacts while still managing fire risk?</t>
  </si>
  <si>
    <t>Smoke, Air Quality, and Public Health | Oregon Issue Listening</t>
  </si>
  <si>
    <t>Learn why smoke, air quality, and public health matters to Oregonians, compare common viewpoints, and share what you want represented.</t>
  </si>
  <si>
    <t>Wildfire hub; Healthcare</t>
  </si>
  <si>
    <t>Drought, Snowpack, and Water Supply</t>
  </si>
  <si>
    <t>/issues/drought-snowpack-and-water-supply</t>
  </si>
  <si>
    <t>Understand drought and water supply pressures</t>
  </si>
  <si>
    <t>Explain snowpack, irrigation, drinking water, farms, fish, cities, and long-term planning.</t>
  </si>
  <si>
    <t>What water-use priority should Oregon protect first during shortages?</t>
  </si>
  <si>
    <t>Drought, Snowpack, and Water Supply | Oregon Issue Listening</t>
  </si>
  <si>
    <t>Learn why drought, snowpack, and water supply matters to Oregonians, compare common viewpoints, and share what you want represented.</t>
  </si>
  <si>
    <t>Wildfire hub; Rural; Environment</t>
  </si>
  <si>
    <t>Water Rights and Irrigation in Oregon</t>
  </si>
  <si>
    <t>/issues/water-rights-and-irrigation-in-oregon</t>
  </si>
  <si>
    <t>Understand water rights and competing needs</t>
  </si>
  <si>
    <t>Cover farms, tribes, fish, cities, groundwater, conservation, and legal complexity.</t>
  </si>
  <si>
    <t>How should Oregon balance water rights and water shortages?</t>
  </si>
  <si>
    <t>Water Rights and Irrigation in Oregon | Oregon Issue Listening</t>
  </si>
  <si>
    <t>Learn why water rights and irrigation in oregon matters to Oregonians, compare common viewpoints, and share what you want represented.</t>
  </si>
  <si>
    <t>Emergency Preparedness and Evacuation</t>
  </si>
  <si>
    <t>/issues/emergency-preparedness-and-evacuation</t>
  </si>
  <si>
    <t>Understand local emergency readiness</t>
  </si>
  <si>
    <t>Cover alerts, routes, shelters, vulnerable residents, rural response, and coordination.</t>
  </si>
  <si>
    <t>What emergency-preparedness gap affects your community?</t>
  </si>
  <si>
    <t>Emergency Preparedness and Evacuation | Oregon Issue Listening</t>
  </si>
  <si>
    <t>Learn why emergency preparedness and evacuation matters to Oregonians, compare common viewpoints, and share what you want represented.</t>
  </si>
  <si>
    <t>Wildfire hub; Transportation</t>
  </si>
  <si>
    <t>Wildfire and Water Feedback</t>
  </si>
  <si>
    <t>/issues/wildfire-and-water-feedback</t>
  </si>
  <si>
    <t>Submit wildfire, drought, and water input</t>
  </si>
  <si>
    <t>Dedicated resilience feedback page.</t>
  </si>
  <si>
    <t>What wildfire, drought, or water issue should your State Senator prioritize?</t>
  </si>
  <si>
    <t>Wildfire and Water Feedback | Oregon Issue Listening</t>
  </si>
  <si>
    <t>Learn why wildfire and water feedback matters to Oregonians, compare common viewpoints, and share what you want represented.</t>
  </si>
  <si>
    <t>Wildfire hub</t>
  </si>
  <si>
    <t>Small Business Costs in Oregon</t>
  </si>
  <si>
    <t>/issues/small-business-costs-in-oregon</t>
  </si>
  <si>
    <t>Understand business cost concerns</t>
  </si>
  <si>
    <t>Cover taxes, fees, permits, insurance, labor, rent, and regulatory compliance.</t>
  </si>
  <si>
    <t>What cost makes it hardest to run or start a business in Oregon?</t>
  </si>
  <si>
    <t>Medium</t>
  </si>
  <si>
    <t>Small Business Costs in Oregon | Oregon Issue Listening</t>
  </si>
  <si>
    <t>Learn why small business costs in oregon matters to Oregonians, compare common viewpoints, and share what you want represented.</t>
  </si>
  <si>
    <t>Economy hub; Cost</t>
  </si>
  <si>
    <t>Workforce Shortages and Apprenticeships</t>
  </si>
  <si>
    <t>/issues/workforce-shortages-and-apprenticeships</t>
  </si>
  <si>
    <t>Understand training and labor gaps</t>
  </si>
  <si>
    <t>Tie employers, workers, schools, trades, childcare, and rural access together.</t>
  </si>
  <si>
    <t>What workforce solution should Oregon prioritize?</t>
  </si>
  <si>
    <t>Workforce Shortages and Apprenticeships | Oregon Issue Listening</t>
  </si>
  <si>
    <t>Learn why workforce shortages and apprenticeships matters to Oregonians, compare common viewpoints, and share what you want represented.</t>
  </si>
  <si>
    <t>Economy hub; Education</t>
  </si>
  <si>
    <t>Minimum Wage, Paid Leave, and Worker Protections</t>
  </si>
  <si>
    <t>/issues/minimum-wage-paid-leave-and-worker-protections</t>
  </si>
  <si>
    <t>Understand labor policy tradeoffs</t>
  </si>
  <si>
    <t>Present worker stability and employer cost concerns together.</t>
  </si>
  <si>
    <t>Where should Oregon balance worker protections and business flexibility?</t>
  </si>
  <si>
    <t>Minimum Wage, Paid Leave, and Worker Protections | Oregon Issue Listening</t>
  </si>
  <si>
    <t>Learn why minimum wage, paid leave, and worker protections matters to Oregonians, compare common viewpoints, and share what you want represented.</t>
  </si>
  <si>
    <t>Economy hub</t>
  </si>
  <si>
    <t>Permitting, Licensing, and Red Tape</t>
  </si>
  <si>
    <t>/issues/permitting-licensing-and-red-tape</t>
  </si>
  <si>
    <t>Understand regulatory bottlenecks</t>
  </si>
  <si>
    <t>Cover speed, safety, consistency, small-business burden, and consumer protection.</t>
  </si>
  <si>
    <t>Which permits or rules should Oregon simplify first?</t>
  </si>
  <si>
    <t>Permitting, Licensing, and Red Tape | Oregon Issue Listening</t>
  </si>
  <si>
    <t>Learn why permitting, licensing, and red tape matters to Oregonians, compare common viewpoints, and share what you want represented.</t>
  </si>
  <si>
    <t>Economy hub; Accountability</t>
  </si>
  <si>
    <t>Rural Jobs, Timber, Agriculture, and Tourism</t>
  </si>
  <si>
    <t>/issues/rural-jobs-timber-agriculture-and-tourism</t>
  </si>
  <si>
    <t>Understand rural economic engines</t>
  </si>
  <si>
    <t>Connect rural livelihoods, conservation, housing, roads, workforce, and local control.</t>
  </si>
  <si>
    <t>What rural industry or job issue deserves more state attention?</t>
  </si>
  <si>
    <t>Rural Jobs, Timber, Agriculture, and Tourism | Oregon Issue Listening</t>
  </si>
  <si>
    <t>Learn why rural jobs, timber, agriculture, and tourism matters to Oregonians, compare common viewpoints, and share what you want represented.</t>
  </si>
  <si>
    <t>Economy hub; Rural</t>
  </si>
  <si>
    <t>Rural Oregon Priorities</t>
  </si>
  <si>
    <t>/issues/rural-oregon-priorities</t>
  </si>
  <si>
    <t>Understand rural policy differences</t>
  </si>
  <si>
    <t>Explain that rural communities experience statewide policy differently from metro areas.</t>
  </si>
  <si>
    <t>What does Salem misunderstand about your community?</t>
  </si>
  <si>
    <t>Rural Oregon Priorities | Oregon Issue Listening</t>
  </si>
  <si>
    <t>Learn why rural oregon priorities matters to Oregonians, compare common viewpoints, and share what you want represented.</t>
  </si>
  <si>
    <t>Rural hub</t>
  </si>
  <si>
    <t>Agriculture, Irrigation, and Farm Viability</t>
  </si>
  <si>
    <t>/issues/agriculture-irrigation-and-farm-viability</t>
  </si>
  <si>
    <t>Understand farm policy pressures</t>
  </si>
  <si>
    <t>Cover water, labor, costs, land use, markets, and environmental standards.</t>
  </si>
  <si>
    <t>What would help Oregon farms remain viable?</t>
  </si>
  <si>
    <t>Agriculture, Irrigation, and Farm Viability | Oregon Issue Listening</t>
  </si>
  <si>
    <t>Learn why agriculture, irrigation, and farm viability matters to Oregonians, compare common viewpoints, and share what you want represented.</t>
  </si>
  <si>
    <t>Rural hub; Water</t>
  </si>
  <si>
    <t>Timber, Forest Jobs, and Conservation</t>
  </si>
  <si>
    <t>/issues/timber-forest-jobs-and-conservation</t>
  </si>
  <si>
    <t>Understand timber and forest tradeoffs</t>
  </si>
  <si>
    <t>Present jobs, fire risk, habitat, climate, and rural tax bases together.</t>
  </si>
  <si>
    <t>How should Oregon balance timber jobs, wildfire risk, and conservation?</t>
  </si>
  <si>
    <t>Timber, Forest Jobs, and Conservation | Oregon Issue Listening</t>
  </si>
  <si>
    <t>Learn why timber, forest jobs, and conservation matters to Oregonians, compare common viewpoints, and share what you want represented.</t>
  </si>
  <si>
    <t>Rural hub; Environment; Wildfire</t>
  </si>
  <si>
    <t>Rural Healthcare and Emergency Response</t>
  </si>
  <si>
    <t>/issues/rural-healthcare-and-emergency-response</t>
  </si>
  <si>
    <t>Understand rural service gaps</t>
  </si>
  <si>
    <t>Cover hospitals, EMS, response times, workforce, telehealth, and funding.</t>
  </si>
  <si>
    <t>What rural healthcare or emergency gap should Oregon fix first?</t>
  </si>
  <si>
    <t>Rural Healthcare and Emergency Response | Oregon Issue Listening</t>
  </si>
  <si>
    <t>Learn why rural healthcare and emergency response matters to Oregonians, compare common viewpoints, and share what you want represented.</t>
  </si>
  <si>
    <t>Rural hub; Healthcare</t>
  </si>
  <si>
    <t>Local Control vs Statewide Standards</t>
  </si>
  <si>
    <t>/issues/local-control-vs-statewide-standards</t>
  </si>
  <si>
    <t>Understand governance tension</t>
  </si>
  <si>
    <t>Frame the debate as consistency, fairness, community fit, and local decision-making.</t>
  </si>
  <si>
    <t>When should Oregon set statewide rules, and when should local communities decide?</t>
  </si>
  <si>
    <t>Local Control vs Statewide Standards | Oregon Issue Listening</t>
  </si>
  <si>
    <t>Learn why local control vs statewide standards matters to Oregonians, compare common viewpoints, and share what you want represented.</t>
  </si>
  <si>
    <t>Rural hub; Accountability</t>
  </si>
  <si>
    <t>Oregon Land Use Planning Explained</t>
  </si>
  <si>
    <t>/issues/oregon-land-use-planning-explained</t>
  </si>
  <si>
    <t>Understand UGBs, farmland, and development rules</t>
  </si>
  <si>
    <t>Cover housing, farms, forests, local control, and statewide planning goals.</t>
  </si>
  <si>
    <t>Should Oregon change land-use rules to address housing or protect farmland?</t>
  </si>
  <si>
    <t>Oregon Land Use Planning Explained | Oregon Issue Listening</t>
  </si>
  <si>
    <t>Learn why oregon land use planning explained matters to Oregonians, compare common viewpoints, and share what you want represented.</t>
  </si>
  <si>
    <t>Environment hub; Housing</t>
  </si>
  <si>
    <t>Energy Affordability and Grid Reliability</t>
  </si>
  <si>
    <t>/issues/energy-affordability-and-grid-reliability</t>
  </si>
  <si>
    <t>Understand clean energy and cost concerns</t>
  </si>
  <si>
    <t>Cover bills, reliability, renewables, transmission, wildfire risk, and consumer protection.</t>
  </si>
  <si>
    <t>What matters most: lower bills, cleaner energy, reliability, or local control?</t>
  </si>
  <si>
    <t>Energy Affordability and Grid Reliability | Oregon Issue Listening</t>
  </si>
  <si>
    <t>Learn why energy affordability and grid reliability matters to Oregonians, compare common viewpoints, and share what you want represented.</t>
  </si>
  <si>
    <t>Environment hub; Cost</t>
  </si>
  <si>
    <t>Climate Resilience and Natural Resources</t>
  </si>
  <si>
    <t>/issues/climate-resilience-and-natural-resources</t>
  </si>
  <si>
    <t>Understand climate adaptation tradeoffs</t>
  </si>
  <si>
    <t>Cover wildfire, water, coastal impacts, agriculture, and budget priorities.</t>
  </si>
  <si>
    <t>What climate or resilience issue should Oregon act on first?</t>
  </si>
  <si>
    <t>Climate Resilience and Natural Resources | Oregon Issue Listening</t>
  </si>
  <si>
    <t>Learn why climate resilience and natural resources matters to Oregonians, compare common viewpoints, and share what you want represented.</t>
  </si>
  <si>
    <t>Environment hub; Wildfire</t>
  </si>
  <si>
    <t>Water Quality, Fish, and Habitat</t>
  </si>
  <si>
    <t>/issues/water-quality-fish-and-habitat</t>
  </si>
  <si>
    <t>Understand water and habitat policy</t>
  </si>
  <si>
    <t>Frame conservation, agriculture, urban needs, tribal rights, fish, and recreation.</t>
  </si>
  <si>
    <t>How should Oregon balance clean water, habitat, farms, and growth?</t>
  </si>
  <si>
    <t>Water Quality, Fish, and Habitat | Oregon Issue Listening</t>
  </si>
  <si>
    <t>Learn why water quality, fish, and habitat matters to Oregonians, compare common viewpoints, and share what you want represented.</t>
  </si>
  <si>
    <t>Environment hub; Water</t>
  </si>
  <si>
    <t>Permitting for Housing, Energy, and Infrastructure</t>
  </si>
  <si>
    <t>/issues/permitting-for-housing-energy-and-infrastructure</t>
  </si>
  <si>
    <t>Understand permitting speed vs safeguards</t>
  </si>
  <si>
    <t>Cover timelines, certainty, environmental review, and community input.</t>
  </si>
  <si>
    <t>Should Oregon speed up permitting, strengthen review, or reform the process another way?</t>
  </si>
  <si>
    <t>Permitting for Housing, Energy, and Infrastructure | Oregon Issue Listening</t>
  </si>
  <si>
    <t>Learn why permitting for housing, energy, and infrastructure matters to Oregonians, compare common viewpoints, and share what you want represented.</t>
  </si>
  <si>
    <t>Environment hub; Housing; Transportation</t>
  </si>
  <si>
    <t>Personal Freedom and State Government</t>
  </si>
  <si>
    <t>/issues/personal-freedom-and-state-government</t>
  </si>
  <si>
    <t>Understand how residents define liberty and protection differently</t>
  </si>
  <si>
    <t>Create a calm overview page for sensitive rights issues.</t>
  </si>
  <si>
    <t>Which personal freedoms should Oregon protect most strongly?</t>
  </si>
  <si>
    <t>Personal Freedom and State Government | Oregon Issue Listening</t>
  </si>
  <si>
    <t>Learn why personal freedom and state government matters to Oregonians, compare common viewpoints, and share what you want represented.</t>
  </si>
  <si>
    <t>Civil Rights hub</t>
  </si>
  <si>
    <t>Reproductive Healthcare and Personal Decision-Making</t>
  </si>
  <si>
    <t>/issues/reproductive-healthcare-and-personal-decision-making</t>
  </si>
  <si>
    <t>Understand reproductive rights debates</t>
  </si>
  <si>
    <t>Frame bodily autonomy, medical access, conscience concerns, privacy, and state limits neutrally.</t>
  </si>
  <si>
    <t>What should Oregon's role be in reproductive healthcare?</t>
  </si>
  <si>
    <t>Reproductive Healthcare and Personal Decision-Making | Oregon Issue Listening</t>
  </si>
  <si>
    <t>Learn why reproductive healthcare and personal decision-making matters to Oregonians, compare common viewpoints, and share what you want represented.</t>
  </si>
  <si>
    <t>Civil Rights hub; Healthcare</t>
  </si>
  <si>
    <t>Gun Rights and Gun Safety in Oregon</t>
  </si>
  <si>
    <t>/issues/gun-rights-and-gun-safety-in-oregon</t>
  </si>
  <si>
    <t>Understand firearm policy tradeoffs</t>
  </si>
  <si>
    <t>Cover constitutional rights, public safety, waiting periods, permitting, enforcement, and rural/urban differences.</t>
  </si>
  <si>
    <t>How should Oregon balance gun rights and gun safety?</t>
  </si>
  <si>
    <t>Gun Rights and Gun Safety in Oregon | Oregon Issue Listening</t>
  </si>
  <si>
    <t>Learn why gun rights and gun safety in oregon matters to Oregonians, compare common viewpoints, and share what you want represented.</t>
  </si>
  <si>
    <t>Civil Rights hub; Public Safety</t>
  </si>
  <si>
    <t>Parental Rights and School Transparency</t>
  </si>
  <si>
    <t>/issues/parental-rights-and-school-transparency</t>
  </si>
  <si>
    <t>Understand family/school trust issues</t>
  </si>
  <si>
    <t>Frame parent involvement, professional standards, student rights, and transparency.</t>
  </si>
  <si>
    <t>How much say should parents have in school policy and curriculum?</t>
  </si>
  <si>
    <t>Parental Rights and School Transparency | Oregon Issue Listening</t>
  </si>
  <si>
    <t>Learn why parental rights and school transparency matters to Oregonians, compare common viewpoints, and share what you want represented.</t>
  </si>
  <si>
    <t>Civil Rights hub; Education</t>
  </si>
  <si>
    <t>Immigration, Sanctuary Laws, and Community Trust</t>
  </si>
  <si>
    <t>/issues/immigration-sanctuary-laws-and-community-trust</t>
  </si>
  <si>
    <t>Understand state/local immigration policy</t>
  </si>
  <si>
    <t>Cover safety, trust, federal/state roles, law enforcement, workers, and civil rights.</t>
  </si>
  <si>
    <t>What should Oregon's role be in immigration-related state policy?</t>
  </si>
  <si>
    <t>Immigration, Sanctuary Laws, and Community Trust | Oregon Issue Listening</t>
  </si>
  <si>
    <t>Learn why immigration, sanctuary laws, and community trust matters to Oregonians, compare common viewpoints, and share what you want represented.</t>
  </si>
  <si>
    <t>Direct Representation: How It Works</t>
  </si>
  <si>
    <t>/issues/direct-representation-how-it-works</t>
  </si>
  <si>
    <t>Understand the campaign's core process</t>
  </si>
  <si>
    <t>Explain public input, bill summaries, vote tracking, and consensus methodology.</t>
  </si>
  <si>
    <t>How should your Senator measure what the district wants?</t>
  </si>
  <si>
    <t>Direct Representation: How It Works | Oregon Issue Listening</t>
  </si>
  <si>
    <t>Learn why direct representation: how it works matters to Oregonians, compare common viewpoints, and share what you want represented.</t>
  </si>
  <si>
    <t>Accountability hub; Main Issues</t>
  </si>
  <si>
    <t>Campaign Finance and Money in Oregon Politics</t>
  </si>
  <si>
    <t>/issues/campaign-finance-and-money-in-oregon-politics</t>
  </si>
  <si>
    <t>Understand contribution limits and disclosure</t>
  </si>
  <si>
    <t>Cover money, transparency, speech concerns, compliance, and public trust.</t>
  </si>
  <si>
    <t>What campaign finance rule would build the most trust?</t>
  </si>
  <si>
    <t>Campaign Finance and Money in Oregon Politics | Oregon Issue Listening</t>
  </si>
  <si>
    <t>Learn why campaign finance and money in oregon politics matters to Oregonians, compare common viewpoints, and share what you want represented.</t>
  </si>
  <si>
    <t>Accountability hub</t>
  </si>
  <si>
    <t>Plain-Language Bill Summaries</t>
  </si>
  <si>
    <t>/issues/plain-language-bill-summaries</t>
  </si>
  <si>
    <t>Understand how bills should be explained to voters</t>
  </si>
  <si>
    <t>Emphasize accuracy, plain language, source links, tradeoffs, and no spin.</t>
  </si>
  <si>
    <t>What information do you need before giving feedback on a bill?</t>
  </si>
  <si>
    <t>Plain-Language Bill Summaries | Oregon Issue Listening</t>
  </si>
  <si>
    <t>Learn why plain-language bill summaries matters to Oregonians, compare common viewpoints, and share what you want represented.</t>
  </si>
  <si>
    <t>Accountability hub; Bill Tracking</t>
  </si>
  <si>
    <t>Secure Constituent Polling and Public Input</t>
  </si>
  <si>
    <t>/issues/secure-constituent-polling-and-public-input</t>
  </si>
  <si>
    <t>Understand feedback security and anti-manipulation</t>
  </si>
  <si>
    <t>Cover access, verification, anonymity, privacy, bots, weighting, and transparency.</t>
  </si>
  <si>
    <t>What would make an online feedback system trustworthy to you?</t>
  </si>
  <si>
    <t>Secure Constituent Polling and Public Input | Oregon Issue Listening</t>
  </si>
  <si>
    <t>Learn why secure constituent polling and public input matters to Oregonians, compare common viewpoints, and share what you want represented.</t>
  </si>
  <si>
    <t>Accountability hub; Technology</t>
  </si>
  <si>
    <t>Town Halls, Surveys, and Advisory Votes</t>
  </si>
  <si>
    <t>/issues/town-halls-surveys-and-advisory-votes</t>
  </si>
  <si>
    <t>Compare methods for hearing residents</t>
  </si>
  <si>
    <t>Show strengths/limits of each input method and how they can complement each other.</t>
  </si>
  <si>
    <t>Which method of public input would you actually use?</t>
  </si>
  <si>
    <t>Town Halls, Surveys, and Advisory Votes | Oregon Issue Listening</t>
  </si>
  <si>
    <t>Learn why town halls, surveys, and advisory votes matters to Oregonians, compare common viewpoints, and share what you want represented.</t>
  </si>
  <si>
    <t>Senior Affordability and Long-Term Care</t>
  </si>
  <si>
    <t>/issues/senior-affordability-and-long-term-care</t>
  </si>
  <si>
    <t>Understand senior cost and care concerns</t>
  </si>
  <si>
    <t>Cover housing, property taxes, long-term care, in-home support, and prescription costs.</t>
  </si>
  <si>
    <t>What senior issue should Oregon prioritize?</t>
  </si>
  <si>
    <t>Low</t>
  </si>
  <si>
    <t>Senior Affordability and Long-Term Care | Oregon Issue Listening</t>
  </si>
  <si>
    <t>Learn why senior affordability and long-term care matters to Oregonians, compare common viewpoints, and share what you want represented.</t>
  </si>
  <si>
    <t>Seniors hub; Cost; Healthcare</t>
  </si>
  <si>
    <t>Veterans Services and Rural Access</t>
  </si>
  <si>
    <t>/issues/veterans-services-and-rural-access</t>
  </si>
  <si>
    <t>Understand veterans' service gaps</t>
  </si>
  <si>
    <t>Cover benefits, healthcare, homelessness, mental health, transportation, and rural access.</t>
  </si>
  <si>
    <t>What should Oregon improve for veterans?</t>
  </si>
  <si>
    <t>Veterans Services and Rural Access | Oregon Issue Listening</t>
  </si>
  <si>
    <t>Learn why veterans services and rural access matters to Oregonians, compare common viewpoints, and share what you want represented.</t>
  </si>
  <si>
    <t>Seniors hub; Rural; Healthcare</t>
  </si>
  <si>
    <t>Disability Services and Accessibility</t>
  </si>
  <si>
    <t>/issues/disability-services-and-accessibility</t>
  </si>
  <si>
    <t>Understand disability policy needs</t>
  </si>
  <si>
    <t>Cover services, access, transportation, employment, caregiving, and program accountability.</t>
  </si>
  <si>
    <t>What barrier should Oregon remove for people with disabilities?</t>
  </si>
  <si>
    <t>Disability Services and Accessibility | Oregon Issue Listening</t>
  </si>
  <si>
    <t>Learn why disability services and accessibility matters to Oregonians, compare common viewpoints, and share what you want represented.</t>
  </si>
  <si>
    <t>Seniors hub; Transportation</t>
  </si>
  <si>
    <t>Childcare Affordability in Oregon</t>
  </si>
  <si>
    <t>/issues/childcare-affordability-in-oregon</t>
  </si>
  <si>
    <t>Understand childcare cost, access, and provider issues</t>
  </si>
  <si>
    <t>Cover families, providers, employers, state support, and budget tradeoffs.</t>
  </si>
  <si>
    <t>What childcare solution would help families most?</t>
  </si>
  <si>
    <t>Childcare Affordability in Oregon | Oregon Issue Listening</t>
  </si>
  <si>
    <t>Learn why childcare affordability in oregon matters to Oregonians, compare common viewpoints, and share what you want represented.</t>
  </si>
  <si>
    <t>Families hub; Cost; Education</t>
  </si>
  <si>
    <t>Foster Care, Family Court, and Child Safety</t>
  </si>
  <si>
    <t>/issues/foster-care-family-court-and-child-safety</t>
  </si>
  <si>
    <t>Understand family systems and child safety</t>
  </si>
  <si>
    <t>Cover safety, family preservation, court capacity, services, and accountability.</t>
  </si>
  <si>
    <t>What should Oregon improve in child and family services?</t>
  </si>
  <si>
    <t>Foster Care, Family Court, and Child Safety | Oregon Issue Listening</t>
  </si>
  <si>
    <t>Learn why foster care, family court, and child safety matters to Oregonians, compare common viewpoints, and share what you want represented.</t>
  </si>
  <si>
    <t>Families hub; Public Safety</t>
  </si>
  <si>
    <t>Food Insecurity and Local Community Support</t>
  </si>
  <si>
    <t>/issues/food-insecurity-and-local-community-support</t>
  </si>
  <si>
    <t>Understand food and community stability needs</t>
  </si>
  <si>
    <t>Cover food programs, nonprofits, schools, families, eligibility, and accountability.</t>
  </si>
  <si>
    <t>What community support should Oregon strengthen?</t>
  </si>
  <si>
    <t>Food Insecurity and Local Community Support | Oregon Issue Listening</t>
  </si>
  <si>
    <t>Learn why food insecurity and local community support matters to Oregonians, compare common viewpoints, and share what you want represented.</t>
  </si>
  <si>
    <t>Families hub; Cost</t>
  </si>
  <si>
    <t>AI in Oregon Government</t>
  </si>
  <si>
    <t>/issues/ai-in-oregon-government</t>
  </si>
  <si>
    <t>Understand potential government AI uses and risks</t>
  </si>
  <si>
    <t>Cover efficiency, bias, transparency, privacy, accountability, and human oversight.</t>
  </si>
  <si>
    <t>Where should Oregon use or limit AI in government?</t>
  </si>
  <si>
    <t>AI in Oregon Government | Oregon Issue Listening</t>
  </si>
  <si>
    <t>Learn why ai in oregon government matters to Oregonians, compare common viewpoints, and share what you want represented.</t>
  </si>
  <si>
    <t>Technology hub; Accountability</t>
  </si>
  <si>
    <t>Data Privacy and Public Trust</t>
  </si>
  <si>
    <t>/issues/data-privacy-and-public-trust</t>
  </si>
  <si>
    <t>Understand privacy concerns in digital government</t>
  </si>
  <si>
    <t>Cover personal data, consent, retention, security, health data, and surveillance worries.</t>
  </si>
  <si>
    <t>What privacy rule would make you trust digital public services?</t>
  </si>
  <si>
    <t>Data Privacy and Public Trust | Oregon Issue Listening</t>
  </si>
  <si>
    <t>Learn why data privacy and public trust matters to Oregonians, compare common viewpoints, and share what you want represented.</t>
  </si>
  <si>
    <t>Technology hub; Civil Rights</t>
  </si>
  <si>
    <t>Cybersecurity and Election/Feedback Systems</t>
  </si>
  <si>
    <t>/issues/cybersecurity-and-election-feedback-systems</t>
  </si>
  <si>
    <t>Understand security risks and safeguards</t>
  </si>
  <si>
    <t>Cover hacking, bots, identity verification, accessibility, and auditability.</t>
  </si>
  <si>
    <t>What safeguards should Oregon require for online public input?</t>
  </si>
  <si>
    <t>Cybersecurity and Election/Feedback Systems | Oregon Issue Listening</t>
  </si>
  <si>
    <t>Learn why cybersecurity and election/feedback systems matters to Oregonians, compare common viewpoints, and share what you want represented.</t>
  </si>
  <si>
    <t>Reusable Issue Page Template</t>
  </si>
  <si>
    <t>Use this structure for all issue hubs and spokes</t>
  </si>
  <si>
    <t>Order</t>
  </si>
  <si>
    <t>Section</t>
  </si>
  <si>
    <t>Purpose</t>
  </si>
  <si>
    <t>Recommended Content</t>
  </si>
  <si>
    <t>OpenClaw Build Notes</t>
  </si>
  <si>
    <t>Hero / Issue Title</t>
  </si>
  <si>
    <t>Make the page feel like a listening page, not a platform statement.</t>
  </si>
  <si>
    <t>Title, one-sentence neutral summary, issue category badge, button to submit feedback.</t>
  </si>
  <si>
    <t>Use consistent hero component across all issue pages.</t>
  </si>
  <si>
    <t>Why This Matters to Oregonians</t>
  </si>
  <si>
    <t>Explain issue relevance without taking a position.</t>
  </si>
  <si>
    <t>3-5 factual paragraphs or bullets; include source links where available.</t>
  </si>
  <si>
    <t>Keep this short enough for mobile. Do not over-politicize.</t>
  </si>
  <si>
    <t>What People Are Concerned About</t>
  </si>
  <si>
    <t>Show multiple public concerns.</t>
  </si>
  <si>
    <t>4-8 bullets representing different resident perspectives.</t>
  </si>
  <si>
    <t>Use phrases like 'Some residents...' and 'Others are concerned...'</t>
  </si>
  <si>
    <t>Common Viewpoints</t>
  </si>
  <si>
    <t>Show more than two perspectives where appropriate.</t>
  </si>
  <si>
    <t>View A, View B, and optionally View C for local-control, budget, or implementation concerns.</t>
  </si>
  <si>
    <t>Avoid 'both sides' framing when there are multiple groups.</t>
  </si>
  <si>
    <t>Help visitors understand policy choices.</t>
  </si>
  <si>
    <t>Cost vs service, safety vs liberty, state standards vs local control, speed vs accountability, growth vs conservation.</t>
  </si>
  <si>
    <t>Display as cards or comparison grid.</t>
  </si>
  <si>
    <t>Questions for Residents</t>
  </si>
  <si>
    <t>Transition from issue explanation to input.</t>
  </si>
  <si>
    <t>3-5 questions specific to the page topic.</t>
  </si>
  <si>
    <t>These should feed the interactive issue feature.</t>
  </si>
  <si>
    <t>Current Oregon Bills / Policies</t>
  </si>
  <si>
    <t>Connect issue to real legislative action.</t>
  </si>
  <si>
    <t>Bill title, plain-language summary, status, official source link, topic tags.</t>
  </si>
  <si>
    <t>Can be manual first; build dynamic later if practical.</t>
  </si>
  <si>
    <t>Tell Us What You Want Represented</t>
  </si>
  <si>
    <t>Primary conversion/action.</t>
  </si>
  <si>
    <t>Issue form, ranking field, strength-of-opinion field, story field, email optional.</t>
  </si>
  <si>
    <t>This CTA should appear mid-page and at bottom.</t>
  </si>
  <si>
    <t>What We’ve Heard So Far</t>
  </si>
  <si>
    <t>Show transparency once enough feedback exists.</t>
  </si>
  <si>
    <t>Aggregated results, common themes, sample anonymized quotes, update date.</t>
  </si>
  <si>
    <t>Do not show until enough responses prevent over-weighting one person.</t>
  </si>
  <si>
    <t>Related Issues</t>
  </si>
  <si>
    <t>Improve topical depth and internal linking.</t>
  </si>
  <si>
    <t>3-6 related issue cards.</t>
  </si>
  <si>
    <t>Use hub/spoke linking to build topical authority.</t>
  </si>
  <si>
    <t>Interactive Feedback System</t>
  </si>
  <si>
    <t>Form fields and data structure for the public-input feature</t>
  </si>
  <si>
    <t>Field</t>
  </si>
  <si>
    <t>Type</t>
  </si>
  <si>
    <t>Required?</t>
  </si>
  <si>
    <t>Suggested Options / Notes</t>
  </si>
  <si>
    <t>Issue Category</t>
  </si>
  <si>
    <t>Dropdown</t>
  </si>
  <si>
    <t>Yes</t>
  </si>
  <si>
    <t>Route feedback to the right issue hub.</t>
  </si>
  <si>
    <t>Housing; Cost of Living; Healthcare; Public Safety; Education; Transportation; Wildfire/Water; Economy; Rural Oregon; Environment; Civil Rights; Accountability; Seniors/Veterans/Disability; Families/Childcare; Technology/Privacy</t>
  </si>
  <si>
    <t>Specific Issue</t>
  </si>
  <si>
    <t>Dropdown or text</t>
  </si>
  <si>
    <t>Capture subtopic.</t>
  </si>
  <si>
    <t>Populate dynamically based on selected issue category.</t>
  </si>
  <si>
    <t>Preferred Outcome</t>
  </si>
  <si>
    <t>Long text</t>
  </si>
  <si>
    <t>Understand what the resident wants to happen.</t>
  </si>
  <si>
    <t>Ask: What outcome do you want your State Senator to support?</t>
  </si>
  <si>
    <t>Tradeoff Willing to Accept</t>
  </si>
  <si>
    <t>Multiple choice + text</t>
  </si>
  <si>
    <t>Recommended</t>
  </si>
  <si>
    <t>Force practical policy thinking.</t>
  </si>
  <si>
    <t>Higher taxes; lower services; more local control; stronger state standards; more enforcement; more treatment; slower process; faster process; other</t>
  </si>
  <si>
    <t>Strength of Opinion</t>
  </si>
  <si>
    <t>Scale 1-5</t>
  </si>
  <si>
    <t>Separate mild preference from dealbreaker issue.</t>
  </si>
  <si>
    <t>1 = mild concern, 5 = vote-changing issue</t>
  </si>
  <si>
    <t>Personal Impact</t>
  </si>
  <si>
    <t>Optional</t>
  </si>
  <si>
    <t>Collect stories and context.</t>
  </si>
  <si>
    <t>Ask how this issue affects their household, business, family, or community.</t>
  </si>
  <si>
    <t>Respondent Perspective</t>
  </si>
  <si>
    <t>Checkboxes</t>
  </si>
  <si>
    <t>Understand context without demographic targeting.</t>
  </si>
  <si>
    <t>Parent; teacher; student; worker; business owner; renter; homeowner; caregiver; veteran; senior; rural resident; healthcare worker; public safety worker; other</t>
  </si>
  <si>
    <t>City / ZIP</t>
  </si>
  <si>
    <t>Text</t>
  </si>
  <si>
    <t>Verify district relevance and regional patterns.</t>
  </si>
  <si>
    <t>Do not require exact address in the basic form.</t>
  </si>
  <si>
    <t>Email</t>
  </si>
  <si>
    <t>Allow follow-up and newsletter updates.</t>
  </si>
  <si>
    <t>Clear consent language required.</t>
  </si>
  <si>
    <t>Permission to Quote Anonymously</t>
  </si>
  <si>
    <t>Checkbox</t>
  </si>
  <si>
    <t>Allow public 'what we heard' summaries.</t>
  </si>
  <si>
    <t>Default should be unchecked.</t>
  </si>
  <si>
    <t>Bot / Spam Protection</t>
  </si>
  <si>
    <t>System field</t>
  </si>
  <si>
    <t>Protect the integrity of the input system.</t>
  </si>
  <si>
    <t>Use CAPTCHA, rate limits, duplicate detection, and audit logging.</t>
  </si>
  <si>
    <t>Privacy Notice</t>
  </si>
  <si>
    <t>Static text</t>
  </si>
  <si>
    <t>Build trust.</t>
  </si>
  <si>
    <t>Explain how feedback will be used, whether it is public/private, and how aggregated results are reported.</t>
  </si>
  <si>
    <t>Bill Tracking Plan</t>
  </si>
  <si>
    <t>How issue pages should connect to real Oregon legislation</t>
  </si>
  <si>
    <t>Page Type</t>
  </si>
  <si>
    <t>Recommended URL Pattern</t>
  </si>
  <si>
    <t>Fields to Show</t>
  </si>
  <si>
    <t>Neutral Summary Rules</t>
  </si>
  <si>
    <t>Feedback Integration</t>
  </si>
  <si>
    <t>Bill Tracker Index</t>
  </si>
  <si>
    <t>/bills</t>
  </si>
  <si>
    <t>Bill number; title; issue category; status; last action; official link; plain-language summary; feedback count; district sentiment summary.</t>
  </si>
  <si>
    <t>Summaries must explain what the bill does, not whether it is good or bad.</t>
  </si>
  <si>
    <t>Allow filtering by issue and button to submit opinion on each bill.</t>
  </si>
  <si>
    <t>Start manual CMS/data file if automated Oregon Legislature integration is too heavy.</t>
  </si>
  <si>
    <t>Single Bill Page</t>
  </si>
  <si>
    <t>/bills/{bill-slug}</t>
  </si>
  <si>
    <t>Official bill link; sponsors; current status; summary; affected issue hubs; arguments/support concerns; arguments/opposition concerns; questions for residents; feedback form.</t>
  </si>
  <si>
    <t>Use 'Supporters often argue...' and 'Critics often argue...' only when sourced. Otherwise use 'Potential concerns include...'.</t>
  </si>
  <si>
    <t>Include poll/rating plus open comment. Ask how the candidate should vote.</t>
  </si>
  <si>
    <t>Every bill page should link back to relevant issue hub.</t>
  </si>
  <si>
    <t>Issue-to-Bill Module</t>
  </si>
  <si>
    <t>Embedded on issue pages</t>
  </si>
  <si>
    <t>3-6 active or recent bills related to topic.</t>
  </si>
  <si>
    <t>Avoid overwhelming visitors. Keep bill cards short.</t>
  </si>
  <si>
    <t>Each card has 'Tell us how you want this handled.'</t>
  </si>
  <si>
    <t>Use reusable component on all issue pages.</t>
  </si>
  <si>
    <t>Feedback Results Page</t>
  </si>
  <si>
    <t>/feedback/what-weve-heard</t>
  </si>
  <si>
    <t>Aggregated issue counts, themes, updated date, methodology, caveats.</t>
  </si>
  <si>
    <t>Never claim a mandate from tiny sample sizes. Label results as 'feedback received,' not scientific polling unless methodology supports it.</t>
  </si>
  <si>
    <t>Link back to issue forms.</t>
  </si>
  <si>
    <t>Add once data volume is meaningful.</t>
  </si>
  <si>
    <t>Sources</t>
  </si>
  <si>
    <t>Plain-text source URLs used to ground the issue plan</t>
  </si>
  <si>
    <t>Source</t>
  </si>
  <si>
    <t>URL</t>
  </si>
  <si>
    <t>Use in Plan</t>
  </si>
  <si>
    <t>Campaign website homepage</t>
  </si>
  <si>
    <t>https://oregon-senate.vercel.app/</t>
  </si>
  <si>
    <t>Confirms direct-representation and consensus positioning.</t>
  </si>
  <si>
    <t>Campaign issues/direct representation page</t>
  </si>
  <si>
    <t>Confirms bill summaries, public feedback, and vote-alignment concept.</t>
  </si>
  <si>
    <t>Oregon Values and Beliefs Center</t>
  </si>
  <si>
    <t>Public concerns about Oregon direction, costs, housing, homelessness, taxes, economy, crime, and representation disconnect.</t>
  </si>
  <si>
    <t>DHM Research housing survey</t>
  </si>
  <si>
    <t>https://www.dhmresearch.com/oregonians-hold-contradicting-views-on-housing-issues/</t>
  </si>
  <si>
    <t>Oregon concerns around homelessness, affordable housing, housing supply, and land preservation.</t>
  </si>
  <si>
    <t>Oregon Business &amp; Industry / DHM poll</t>
  </si>
  <si>
    <t>Cost of living and economic condition concern signals.</t>
  </si>
  <si>
    <t>Oregon Department of Education update</t>
  </si>
  <si>
    <t>School funding and rising-cost context.</t>
  </si>
  <si>
    <t>Oregon Health Authority 2025 end-of-session report</t>
  </si>
  <si>
    <t>Medicaid stability and behavioral health budget context.</t>
  </si>
  <si>
    <t>Oregon Health Authority rural healthcare investment</t>
  </si>
  <si>
    <t>https://www.oregon.gov/oha/erd/pages/oregon-to-receive-%24197.3m-federal-investment-in-rural-healthcare.aspx</t>
  </si>
  <si>
    <t>Rural health access, workforce, technology, and chronic disease funding context.</t>
  </si>
  <si>
    <t>Oregon Secretary of State Measure 110 audit</t>
  </si>
  <si>
    <t>https://sos.oregon.gov/audits/Documents/2025-29.pdf</t>
  </si>
  <si>
    <t>Measure 110, HB 4002, recriminalization, and deflection program context.</t>
  </si>
  <si>
    <t>Portland State University Measure 110 report</t>
  </si>
  <si>
    <t>https://www.pdx.edu/news/psu-researchers-release-final-report-landmark-project-exploring-impacts-measure-110</t>
  </si>
  <si>
    <t>Research context for Measure 110, crime, overdose, COVID disruption, and fentanyl.</t>
  </si>
  <si>
    <t>Association of Oregon Counties transportation funding</t>
  </si>
  <si>
    <t>Transportation package and road funding context.</t>
  </si>
  <si>
    <t>Oregon Legislature wildfire policy brief</t>
  </si>
  <si>
    <t>https://www.oregonlegislature.gov/lpro/Publications/Wildfire%20Policy%20Development%202013-2025.pdf</t>
  </si>
  <si>
    <t>Wildfire prevention, suppression, insurance, and statewide fire response context.</t>
  </si>
  <si>
    <t>Axios Portland drought/snowpack</t>
  </si>
  <si>
    <t>https://www.axios.com/local/portland/2026/05/13/oregon-snow-drought-raises-irrigation-fears</t>
  </si>
  <si>
    <t>Drought, snowpack, irrigation, and water stress context.</t>
  </si>
  <si>
    <t>Oregon DLCD legislative report</t>
  </si>
  <si>
    <t>Land use planning and legislative policy context.</t>
  </si>
  <si>
    <t>Oregon DOJ Sanctuary Promise</t>
  </si>
  <si>
    <t>https://www.doj.state.or.us/oregon-department-of-justice/civil-rights/sanctuary-promise/</t>
  </si>
  <si>
    <t>Oregon sanctuary law and civil rights context.</t>
  </si>
  <si>
    <t>OPB gun legislation / Measure 114 context</t>
  </si>
  <si>
    <t>https://www.opb.org/article/2025/04/11/firearms-guns-oregon-gun-legislation-regulation-rapid-fire-devices-waiting-period-measure-114/</t>
  </si>
  <si>
    <t>Firearm legislation and Measure 114 context.</t>
  </si>
  <si>
    <t>Oregon SOS campaign finance legislation</t>
  </si>
  <si>
    <t>https://sos.oregon.gov/elections/Pages/campaign-finance-legislation.aspx</t>
  </si>
  <si>
    <t>Campaign finance law changes, contribution limits, disclosure, and implementation dates.</t>
  </si>
  <si>
    <t>Dropdown Values</t>
  </si>
  <si>
    <t>Use these values for spreadsheet filters and website form options</t>
  </si>
  <si>
    <t>Drafting</t>
  </si>
  <si>
    <t>In Review</t>
  </si>
  <si>
    <t>Ready to Build</t>
  </si>
  <si>
    <t>Bill Tracker</t>
  </si>
  <si>
    <t>Built</t>
  </si>
  <si>
    <t>FAQ</t>
  </si>
  <si>
    <t>Needs Update</t>
  </si>
  <si>
    <t>Hub Page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</si>
</sst>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Carlito"/>
      <scheme val="minor"/>
    </font>
    <font>
      <b/>
      <sz val="16.0"/>
      <color rgb="FFFFFFFF"/>
      <name val="Carlito"/>
    </font>
    <font>
      <i/>
      <sz val="11.0"/>
      <color rgb="FF1F2937"/>
      <name val="Carlito"/>
    </font>
    <font>
      <b/>
      <sz val="11.0"/>
      <color rgb="FFFFFFFF"/>
      <name val="Carlito"/>
    </font>
    <font>
      <sz val="11.0"/>
      <color theme="1"/>
      <name val="Carlito"/>
    </font>
    <font>
      <color theme="1"/>
      <name val="Carlito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0B2F2A"/>
        <bgColor rgb="FF0B2F2A"/>
      </patternFill>
    </fill>
    <fill>
      <patternFill patternType="solid">
        <fgColor rgb="FFE8F5E9"/>
        <bgColor rgb="FFE8F5E9"/>
      </patternFill>
    </fill>
    <fill>
      <patternFill patternType="solid">
        <fgColor rgb="FF12372A"/>
        <bgColor rgb="FF12372A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vertical="center"/>
    </xf>
    <xf borderId="0" fillId="3" fontId="2" numFmtId="0" xfId="0" applyAlignment="1" applyFill="1" applyFont="1">
      <alignment shrinkToFit="0" vertical="center" wrapText="1"/>
    </xf>
    <xf borderId="0" fillId="4" fontId="3" numFmtId="0" xfId="0" applyAlignment="1" applyFill="1" applyFont="1">
      <alignment horizontal="center" shrinkToFit="0" vertical="center" wrapText="1"/>
    </xf>
    <xf borderId="0" fillId="0" fontId="4" numFmtId="0" xfId="0" applyAlignment="1" applyFont="1">
      <alignment shrinkToFit="0" vertical="top" wrapText="1"/>
    </xf>
    <xf borderId="0" fillId="4" fontId="3" numFmtId="0" xfId="0" applyAlignment="1" applyFont="1">
      <alignment horizontal="center"/>
    </xf>
    <xf borderId="0" fillId="0" fontId="4" numFmtId="0" xfId="0" applyAlignment="1" applyFont="1">
      <alignment shrinkToFit="0" vertical="top" wrapText="1"/>
    </xf>
    <xf borderId="0" fillId="0" fontId="5" numFmtId="0" xfId="0" applyFont="1"/>
    <xf borderId="0" fillId="0" fontId="4" numFmtId="0" xfId="0" applyAlignment="1" applyFont="1">
      <alignment shrinkToFit="0" wrapText="1"/>
    </xf>
  </cellXfs>
  <cellStyles count="1">
    <cellStyle xfId="0" name="Normal" builtinId="0"/>
  </cellStyles>
  <dxfs count="11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E0F2FE"/>
          <bgColor rgb="FFE0F2FE"/>
        </patternFill>
      </fill>
      <border/>
    </dxf>
    <dxf>
      <font/>
      <fill>
        <patternFill patternType="solid">
          <fgColor rgb="FFECFCCB"/>
          <bgColor rgb="FFECFCCB"/>
        </patternFill>
      </fill>
      <border/>
    </dxf>
    <dxf>
      <font/>
      <fill>
        <patternFill patternType="solid">
          <fgColor rgb="FFF3E8FF"/>
          <bgColor rgb="FFF3E8FF"/>
        </patternFill>
      </fill>
      <border/>
    </dxf>
    <dxf>
      <font/>
      <fill>
        <patternFill patternType="solid">
          <fgColor rgb="FFFEE2E2"/>
          <bgColor rgb="FFFEE2E2"/>
        </patternFill>
      </fill>
      <border/>
    </dxf>
    <dxf>
      <font/>
      <fill>
        <patternFill patternType="solid">
          <fgColor rgb="FFFEF3C7"/>
          <bgColor rgb="FFFEF3C7"/>
        </patternFill>
      </fill>
      <border/>
    </dxf>
    <dxf>
      <font/>
      <fill>
        <patternFill patternType="solid">
          <fgColor rgb="FFDCFCE7"/>
          <bgColor rgb="FFDCFCE7"/>
        </patternFill>
      </fill>
      <border/>
    </dxf>
    <dxf>
      <font>
        <color rgb="FF166534"/>
      </font>
      <fill>
        <patternFill patternType="solid">
          <fgColor rgb="FFDCFCE7"/>
          <bgColor rgb="FFDCFCE7"/>
        </patternFill>
      </fill>
      <border/>
    </dxf>
  </dxfs>
  <tableStyles count="8">
    <tableStyle count="3" pivot="0" name="README_OpenClaw-style">
      <tableStyleElement dxfId="1" type="headerRow"/>
      <tableStyleElement dxfId="2" type="firstRowStripe"/>
      <tableStyleElement dxfId="3" type="secondRowStripe"/>
    </tableStyle>
    <tableStyle count="3" pivot="0" name="Dashboard-style">
      <tableStyleElement dxfId="1" type="headerRow"/>
      <tableStyleElement dxfId="2" type="firstRowStripe"/>
      <tableStyleElement dxfId="3" type="secondRowStripe"/>
    </tableStyle>
    <tableStyle count="3" pivot="0" name="Issue_Hubs-style">
      <tableStyleElement dxfId="1" type="headerRow"/>
      <tableStyleElement dxfId="2" type="firstRowStripe"/>
      <tableStyleElement dxfId="3" type="secondRowStripe"/>
    </tableStyle>
    <tableStyle count="3" pivot="0" name="Spoke_Pages-style">
      <tableStyleElement dxfId="1" type="headerRow"/>
      <tableStyleElement dxfId="2" type="firstRowStripe"/>
      <tableStyleElement dxfId="3" type="secondRowStripe"/>
    </tableStyle>
    <tableStyle count="3" pivot="0" name="Page_Template-style">
      <tableStyleElement dxfId="1" type="headerRow"/>
      <tableStyleElement dxfId="2" type="firstRowStripe"/>
      <tableStyleElement dxfId="3" type="secondRowStripe"/>
    </tableStyle>
    <tableStyle count="3" pivot="0" name="Feedback_System-style">
      <tableStyleElement dxfId="1" type="headerRow"/>
      <tableStyleElement dxfId="2" type="firstRowStripe"/>
      <tableStyleElement dxfId="3" type="secondRowStripe"/>
    </tableStyle>
    <tableStyle count="3" pivot="0" name="Bill_Tracking-style">
      <tableStyleElement dxfId="1" type="headerRow"/>
      <tableStyleElement dxfId="2" type="firstRowStripe"/>
      <tableStyleElement dxfId="3" type="secondRowStripe"/>
    </tableStyle>
    <tableStyle count="3" pivot="0" name="Source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4:B14" displayName="Table_1" name="Table_1" id="1">
  <tableColumns count="2">
    <tableColumn name="Item" id="1"/>
    <tableColumn name="Instruction" id="2"/>
  </tableColumns>
  <tableStyleInfo name="README_OpenClaw-style" showColumnStripes="0" showFirstColumn="1" showLastColumn="1" showRowStripes="1"/>
</table>
</file>

<file path=xl/tables/table2.xml><?xml version="1.0" encoding="utf-8"?>
<table xmlns="http://schemas.openxmlformats.org/spreadsheetml/2006/main" ref="A16:C19" displayName="Table_2" name="Table_2" id="2">
  <tableColumns count="3">
    <tableColumn name="Phase" id="1"/>
    <tableColumn name="Build Focus" id="2"/>
    <tableColumn name="Recommended Action" id="3"/>
  </tableColumns>
  <tableStyleInfo name="Dashboard-style" showColumnStripes="0" showFirstColumn="1" showLastColumn="1" showRowStripes="1"/>
</table>
</file>

<file path=xl/tables/table3.xml><?xml version="1.0" encoding="utf-8"?>
<table xmlns="http://schemas.openxmlformats.org/spreadsheetml/2006/main" ref="A4:M19" displayName="Table_3" name="Table_3" id="3">
  <tableColumns count="13">
    <tableColumn name="Phase" id="1"/>
    <tableColumn name="Build Priority" id="2"/>
    <tableColumn name="Issue Hub" id="3"/>
    <tableColumn name="Recommended URL" id="4"/>
    <tableColumn name="Primary Search / User Intent" id="5"/>
    <tableColumn name="Page Purpose" id="6"/>
    <tableColumn name="Core Subtopics" id="7"/>
    <tableColumn name="Neutral Framing - View A" id="8"/>
    <tableColumn name="Neutral Framing - View B" id="9"/>
    <tableColumn name="Key Tradeoffs" id="10"/>
    <tableColumn name="Universal Feedback Prompt" id="11"/>
    <tableColumn name="OpenClaw Implementation Notes" id="12"/>
    <tableColumn name="Source URLs" id="13"/>
  </tableColumns>
  <tableStyleInfo name="Issue_Hubs-style" showColumnStripes="0" showFirstColumn="1" showLastColumn="1" showRowStripes="1"/>
</table>
</file>

<file path=xl/tables/table4.xml><?xml version="1.0" encoding="utf-8"?>
<table xmlns="http://schemas.openxmlformats.org/spreadsheetml/2006/main" ref="A4:N94" displayName="Table_4" name="Table_4" id="4">
  <tableColumns count="14">
    <tableColumn name="Phase" id="1"/>
    <tableColumn name="Hub Cluster" id="2"/>
    <tableColumn name="Spoke Page Title" id="3"/>
    <tableColumn name="URL Slug" id="4"/>
    <tableColumn name="Content Type" id="5"/>
    <tableColumn name="Search / Visitor Intent" id="6"/>
    <tableColumn name="Neutral Angle" id="7"/>
    <tableColumn name="Feedback CTA Question" id="8"/>
    <tableColumn name="Priority" id="9"/>
    <tableColumn name="Status" id="10"/>
    <tableColumn name="SEO Title" id="11"/>
    <tableColumn name="Meta Description" id="12"/>
    <tableColumn name="OpenClaw Notes" id="13"/>
    <tableColumn name="Internal Links" id="14"/>
  </tableColumns>
  <tableStyleInfo name="Spoke_Pages-style" showColumnStripes="0" showFirstColumn="1" showLastColumn="1" showRowStripes="1"/>
</table>
</file>

<file path=xl/tables/table5.xml><?xml version="1.0" encoding="utf-8"?>
<table xmlns="http://schemas.openxmlformats.org/spreadsheetml/2006/main" ref="A4:E14" displayName="Table_5" name="Table_5" id="5">
  <tableColumns count="5">
    <tableColumn name="Order" id="1"/>
    <tableColumn name="Section" id="2"/>
    <tableColumn name="Purpose" id="3"/>
    <tableColumn name="Recommended Content" id="4"/>
    <tableColumn name="OpenClaw Build Notes" id="5"/>
  </tableColumns>
  <tableStyleInfo name="Page_Template-style" showColumnStripes="0" showFirstColumn="1" showLastColumn="1" showRowStripes="1"/>
</table>
</file>

<file path=xl/tables/table6.xml><?xml version="1.0" encoding="utf-8"?>
<table xmlns="http://schemas.openxmlformats.org/spreadsheetml/2006/main" ref="A4:E16" displayName="Table_6" name="Table_6" id="6">
  <tableColumns count="5">
    <tableColumn name="Field" id="1"/>
    <tableColumn name="Type" id="2"/>
    <tableColumn name="Required?" id="3"/>
    <tableColumn name="Purpose" id="4"/>
    <tableColumn name="Suggested Options / Notes" id="5"/>
  </tableColumns>
  <tableStyleInfo name="Feedback_System-style" showColumnStripes="0" showFirstColumn="1" showLastColumn="1" showRowStripes="1"/>
</table>
</file>

<file path=xl/tables/table7.xml><?xml version="1.0" encoding="utf-8"?>
<table xmlns="http://schemas.openxmlformats.org/spreadsheetml/2006/main" ref="A4:F8" displayName="Table_7" name="Table_7" id="7">
  <tableColumns count="6">
    <tableColumn name="Page Type" id="1"/>
    <tableColumn name="Recommended URL Pattern" id="2"/>
    <tableColumn name="Fields to Show" id="3"/>
    <tableColumn name="Neutral Summary Rules" id="4"/>
    <tableColumn name="Feedback Integration" id="5"/>
    <tableColumn name="OpenClaw Notes" id="6"/>
  </tableColumns>
  <tableStyleInfo name="Bill_Tracking-style" showColumnStripes="0" showFirstColumn="1" showLastColumn="1" showRowStripes="1"/>
</table>
</file>

<file path=xl/tables/table8.xml><?xml version="1.0" encoding="utf-8"?>
<table xmlns="http://schemas.openxmlformats.org/spreadsheetml/2006/main" ref="A4:C21" displayName="Table_8" name="Table_8" id="8">
  <tableColumns count="3">
    <tableColumn name="Source" id="1"/>
    <tableColumn name="URL" id="2"/>
    <tableColumn name="Use in Plan" id="3"/>
  </tableColumns>
  <tableStyleInfo name="Sourc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0"/>
    <col customWidth="1" min="2" max="2" width="105.0"/>
    <col customWidth="1" min="3" max="26" width="8.63"/>
  </cols>
  <sheetData>
    <row r="1" ht="18.75" customHeight="1">
      <c r="A1" s="1" t="s">
        <v>0</v>
      </c>
    </row>
    <row r="2" ht="31.5" customHeight="1">
      <c r="A2" s="2" t="s">
        <v>1</v>
      </c>
    </row>
    <row r="4" ht="30.0" customHeight="1">
      <c r="A4" s="3" t="s">
        <v>2</v>
      </c>
      <c r="B4" s="3" t="s">
        <v>3</v>
      </c>
    </row>
    <row r="5">
      <c r="A5" s="4" t="s">
        <v>4</v>
      </c>
      <c r="B5" s="4" t="s">
        <v>5</v>
      </c>
    </row>
    <row r="6">
      <c r="A6" s="4" t="s">
        <v>6</v>
      </c>
      <c r="B6" s="4" t="s">
        <v>7</v>
      </c>
    </row>
    <row r="7">
      <c r="A7" s="4" t="s">
        <v>8</v>
      </c>
      <c r="B7" s="4" t="s">
        <v>9</v>
      </c>
    </row>
    <row r="8">
      <c r="A8" s="4" t="s">
        <v>10</v>
      </c>
      <c r="B8" s="4" t="s">
        <v>11</v>
      </c>
    </row>
    <row r="9">
      <c r="A9" s="4" t="s">
        <v>12</v>
      </c>
      <c r="B9" s="4" t="s">
        <v>13</v>
      </c>
    </row>
    <row r="10">
      <c r="A10" s="4" t="s">
        <v>14</v>
      </c>
      <c r="B10" s="4" t="s">
        <v>15</v>
      </c>
    </row>
    <row r="11">
      <c r="A11" s="4" t="s">
        <v>16</v>
      </c>
      <c r="B11" s="4" t="s">
        <v>17</v>
      </c>
    </row>
    <row r="12">
      <c r="A12" s="4" t="s">
        <v>18</v>
      </c>
      <c r="B12" s="4" t="s">
        <v>19</v>
      </c>
    </row>
    <row r="13">
      <c r="A13" s="4" t="s">
        <v>20</v>
      </c>
      <c r="B13" s="4" t="s">
        <v>21</v>
      </c>
    </row>
    <row r="14">
      <c r="A14" s="4" t="s">
        <v>22</v>
      </c>
      <c r="B14" s="4" t="s">
        <v>23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1"/>
    <mergeCell ref="A2:E2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0"/>
    <col customWidth="1" min="2" max="2" width="34.0"/>
    <col customWidth="1" min="3" max="3" width="72.0"/>
    <col customWidth="1" min="4" max="26" width="8.63"/>
  </cols>
  <sheetData>
    <row r="1" ht="18.75" customHeight="1">
      <c r="A1" s="1" t="s">
        <v>24</v>
      </c>
    </row>
    <row r="2" ht="31.5" customHeight="1">
      <c r="A2" s="2" t="s">
        <v>25</v>
      </c>
    </row>
    <row r="4">
      <c r="A4" s="5" t="s">
        <v>26</v>
      </c>
      <c r="B4" s="5" t="s">
        <v>27</v>
      </c>
      <c r="C4" s="5" t="s">
        <v>28</v>
      </c>
    </row>
    <row r="5">
      <c r="A5" s="6" t="s">
        <v>29</v>
      </c>
      <c r="B5" s="6">
        <f>COUNTA(Issue_Hubs!C5:C100)</f>
        <v>15</v>
      </c>
      <c r="C5" s="6" t="s">
        <v>30</v>
      </c>
    </row>
    <row r="6">
      <c r="A6" s="6" t="s">
        <v>31</v>
      </c>
      <c r="B6" s="6">
        <f>COUNTA(Spoke_Pages!C5:C200)</f>
        <v>90</v>
      </c>
      <c r="C6" s="6" t="s">
        <v>32</v>
      </c>
    </row>
    <row r="7">
      <c r="A7" s="6" t="s">
        <v>33</v>
      </c>
      <c r="B7" s="6">
        <f>COUNTIF(Spoke_Pages!A:A,"Phase 1")</f>
        <v>56</v>
      </c>
      <c r="C7" s="6" t="s">
        <v>34</v>
      </c>
    </row>
    <row r="8">
      <c r="A8" s="6" t="s">
        <v>35</v>
      </c>
      <c r="B8" s="6">
        <f>COUNTIF(Spoke_Pages!A:A,"Phase 2")</f>
        <v>25</v>
      </c>
      <c r="C8" s="6" t="s">
        <v>36</v>
      </c>
    </row>
    <row r="9">
      <c r="A9" s="6" t="s">
        <v>37</v>
      </c>
      <c r="B9" s="6">
        <f>COUNTIF(Spoke_Pages!A:A,"Phase 3")</f>
        <v>9</v>
      </c>
      <c r="C9" s="6" t="s">
        <v>38</v>
      </c>
    </row>
    <row r="10">
      <c r="A10" s="6" t="s">
        <v>39</v>
      </c>
      <c r="B10" s="6">
        <f>COUNTIF(Spoke_Pages!I:I,"High")</f>
        <v>56</v>
      </c>
      <c r="C10" s="6" t="s">
        <v>40</v>
      </c>
    </row>
    <row r="11">
      <c r="A11" s="6" t="s">
        <v>41</v>
      </c>
      <c r="B11" s="6">
        <f>COUNTIF(Spoke_Pages!I:I,"Medium")</f>
        <v>25</v>
      </c>
      <c r="C11" s="6" t="s">
        <v>42</v>
      </c>
    </row>
    <row r="12">
      <c r="A12" s="6" t="s">
        <v>43</v>
      </c>
      <c r="B12" s="6">
        <f>COUNTIF(Spoke_Pages!I:I,"Low")</f>
        <v>9</v>
      </c>
      <c r="C12" s="6" t="s">
        <v>44</v>
      </c>
    </row>
    <row r="13">
      <c r="A13" s="6" t="s">
        <v>45</v>
      </c>
      <c r="B13" s="6">
        <f>COUNTIF(Spoke_Pages!E:E,"Listening Page")</f>
        <v>7</v>
      </c>
      <c r="C13" s="6" t="s">
        <v>46</v>
      </c>
    </row>
    <row r="16" ht="30.0" customHeight="1">
      <c r="A16" s="3" t="s">
        <v>47</v>
      </c>
      <c r="B16" s="3" t="s">
        <v>48</v>
      </c>
      <c r="C16" s="3" t="s">
        <v>49</v>
      </c>
    </row>
    <row r="17">
      <c r="A17" s="4" t="s">
        <v>50</v>
      </c>
      <c r="B17" s="4" t="s">
        <v>51</v>
      </c>
      <c r="C17" s="4" t="s">
        <v>52</v>
      </c>
    </row>
    <row r="18">
      <c r="A18" s="4" t="s">
        <v>53</v>
      </c>
      <c r="B18" s="4" t="s">
        <v>54</v>
      </c>
      <c r="C18" s="4" t="s">
        <v>55</v>
      </c>
    </row>
    <row r="19">
      <c r="A19" s="4" t="s">
        <v>56</v>
      </c>
      <c r="B19" s="4" t="s">
        <v>57</v>
      </c>
      <c r="C19" s="4" t="s">
        <v>58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:F2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2.0"/>
    <col customWidth="1" min="3" max="3" width="34.0"/>
    <col customWidth="1" min="4" max="4" width="38.0"/>
    <col customWidth="1" min="5" max="5" width="36.0"/>
    <col customWidth="1" min="6" max="6" width="46.0"/>
    <col customWidth="1" min="7" max="7" width="58.0"/>
    <col customWidth="1" min="8" max="10" width="48.0"/>
    <col customWidth="1" min="11" max="12" width="54.0"/>
    <col customWidth="1" min="13" max="13" width="55.0"/>
    <col customWidth="1" min="14" max="26" width="8.63"/>
  </cols>
  <sheetData>
    <row r="1" ht="18.75" customHeight="1">
      <c r="A1" s="1" t="s">
        <v>59</v>
      </c>
    </row>
    <row r="2" ht="31.5" customHeight="1">
      <c r="A2" s="2" t="s">
        <v>60</v>
      </c>
    </row>
    <row r="4" ht="30.0" customHeight="1">
      <c r="A4" s="3" t="s">
        <v>47</v>
      </c>
      <c r="B4" s="3" t="s">
        <v>61</v>
      </c>
      <c r="C4" s="3" t="s">
        <v>62</v>
      </c>
      <c r="D4" s="3" t="s">
        <v>63</v>
      </c>
      <c r="E4" s="3" t="s">
        <v>64</v>
      </c>
      <c r="F4" s="3" t="s">
        <v>65</v>
      </c>
      <c r="G4" s="3" t="s">
        <v>66</v>
      </c>
      <c r="H4" s="3" t="s">
        <v>67</v>
      </c>
      <c r="I4" s="3" t="s">
        <v>68</v>
      </c>
      <c r="J4" s="3" t="s">
        <v>69</v>
      </c>
      <c r="K4" s="3" t="s">
        <v>70</v>
      </c>
      <c r="L4" s="3" t="s">
        <v>71</v>
      </c>
      <c r="M4" s="3" t="s">
        <v>72</v>
      </c>
    </row>
    <row r="5">
      <c r="A5" s="4" t="s">
        <v>50</v>
      </c>
      <c r="B5" s="4">
        <v>1.0</v>
      </c>
      <c r="C5" s="4" t="s">
        <v>73</v>
      </c>
      <c r="D5" s="4" t="s">
        <v>74</v>
      </c>
      <c r="E5" s="4" t="s">
        <v>75</v>
      </c>
      <c r="F5" s="4" t="s">
        <v>76</v>
      </c>
      <c r="G5" s="4" t="s">
        <v>77</v>
      </c>
      <c r="H5" s="4" t="s">
        <v>78</v>
      </c>
      <c r="I5" s="4" t="s">
        <v>79</v>
      </c>
      <c r="J5" s="4" t="s">
        <v>80</v>
      </c>
      <c r="K5" s="4" t="s">
        <v>81</v>
      </c>
      <c r="L5" s="4" t="s">
        <v>82</v>
      </c>
      <c r="M5" s="4" t="s">
        <v>83</v>
      </c>
    </row>
    <row r="6">
      <c r="A6" s="4" t="s">
        <v>50</v>
      </c>
      <c r="B6" s="4">
        <v>2.0</v>
      </c>
      <c r="C6" s="4" t="s">
        <v>84</v>
      </c>
      <c r="D6" s="4" t="s">
        <v>85</v>
      </c>
      <c r="E6" s="4" t="s">
        <v>86</v>
      </c>
      <c r="F6" s="4" t="s">
        <v>87</v>
      </c>
      <c r="G6" s="4" t="s">
        <v>88</v>
      </c>
      <c r="H6" s="4" t="s">
        <v>89</v>
      </c>
      <c r="I6" s="4" t="s">
        <v>90</v>
      </c>
      <c r="J6" s="4" t="s">
        <v>91</v>
      </c>
      <c r="K6" s="4" t="s">
        <v>92</v>
      </c>
      <c r="L6" s="4" t="s">
        <v>93</v>
      </c>
      <c r="M6" s="4" t="s">
        <v>94</v>
      </c>
    </row>
    <row r="7">
      <c r="A7" s="4" t="s">
        <v>50</v>
      </c>
      <c r="B7" s="4">
        <v>3.0</v>
      </c>
      <c r="C7" s="4" t="s">
        <v>95</v>
      </c>
      <c r="D7" s="4" t="s">
        <v>96</v>
      </c>
      <c r="E7" s="4" t="s">
        <v>97</v>
      </c>
      <c r="F7" s="4" t="s">
        <v>98</v>
      </c>
      <c r="G7" s="4" t="s">
        <v>99</v>
      </c>
      <c r="H7" s="4" t="s">
        <v>100</v>
      </c>
      <c r="I7" s="4" t="s">
        <v>101</v>
      </c>
      <c r="J7" s="4" t="s">
        <v>102</v>
      </c>
      <c r="K7" s="4" t="s">
        <v>103</v>
      </c>
      <c r="L7" s="4" t="s">
        <v>104</v>
      </c>
      <c r="M7" s="4" t="s">
        <v>105</v>
      </c>
    </row>
    <row r="8">
      <c r="A8" s="4" t="s">
        <v>50</v>
      </c>
      <c r="B8" s="4">
        <v>4.0</v>
      </c>
      <c r="C8" s="4" t="s">
        <v>106</v>
      </c>
      <c r="D8" s="4" t="s">
        <v>107</v>
      </c>
      <c r="E8" s="4" t="s">
        <v>108</v>
      </c>
      <c r="F8" s="4" t="s">
        <v>109</v>
      </c>
      <c r="G8" s="4" t="s">
        <v>110</v>
      </c>
      <c r="H8" s="4" t="s">
        <v>111</v>
      </c>
      <c r="I8" s="4" t="s">
        <v>112</v>
      </c>
      <c r="J8" s="4" t="s">
        <v>113</v>
      </c>
      <c r="K8" s="4" t="s">
        <v>114</v>
      </c>
      <c r="L8" s="4" t="s">
        <v>115</v>
      </c>
      <c r="M8" s="4" t="s">
        <v>116</v>
      </c>
    </row>
    <row r="9">
      <c r="A9" s="4" t="s">
        <v>50</v>
      </c>
      <c r="B9" s="4">
        <v>5.0</v>
      </c>
      <c r="C9" s="4" t="s">
        <v>117</v>
      </c>
      <c r="D9" s="4" t="s">
        <v>118</v>
      </c>
      <c r="E9" s="4" t="s">
        <v>119</v>
      </c>
      <c r="F9" s="4" t="s">
        <v>120</v>
      </c>
      <c r="G9" s="4" t="s">
        <v>121</v>
      </c>
      <c r="H9" s="4" t="s">
        <v>122</v>
      </c>
      <c r="I9" s="4" t="s">
        <v>123</v>
      </c>
      <c r="J9" s="4" t="s">
        <v>124</v>
      </c>
      <c r="K9" s="4" t="s">
        <v>125</v>
      </c>
      <c r="L9" s="4" t="s">
        <v>126</v>
      </c>
      <c r="M9" s="4" t="s">
        <v>127</v>
      </c>
    </row>
    <row r="10">
      <c r="A10" s="4" t="s">
        <v>50</v>
      </c>
      <c r="B10" s="4">
        <v>6.0</v>
      </c>
      <c r="C10" s="4" t="s">
        <v>128</v>
      </c>
      <c r="D10" s="4" t="s">
        <v>129</v>
      </c>
      <c r="E10" s="4" t="s">
        <v>130</v>
      </c>
      <c r="F10" s="4" t="s">
        <v>131</v>
      </c>
      <c r="G10" s="4" t="s">
        <v>132</v>
      </c>
      <c r="H10" s="4" t="s">
        <v>133</v>
      </c>
      <c r="I10" s="4" t="s">
        <v>134</v>
      </c>
      <c r="J10" s="4" t="s">
        <v>135</v>
      </c>
      <c r="K10" s="4" t="s">
        <v>136</v>
      </c>
      <c r="L10" s="4" t="s">
        <v>137</v>
      </c>
      <c r="M10" s="4" t="s">
        <v>138</v>
      </c>
    </row>
    <row r="11">
      <c r="A11" s="4" t="s">
        <v>50</v>
      </c>
      <c r="B11" s="4">
        <v>7.0</v>
      </c>
      <c r="C11" s="4" t="s">
        <v>139</v>
      </c>
      <c r="D11" s="4" t="s">
        <v>140</v>
      </c>
      <c r="E11" s="4" t="s">
        <v>141</v>
      </c>
      <c r="F11" s="4" t="s">
        <v>142</v>
      </c>
      <c r="G11" s="4" t="s">
        <v>143</v>
      </c>
      <c r="H11" s="4" t="s">
        <v>144</v>
      </c>
      <c r="I11" s="4" t="s">
        <v>145</v>
      </c>
      <c r="J11" s="4" t="s">
        <v>146</v>
      </c>
      <c r="K11" s="4" t="s">
        <v>147</v>
      </c>
      <c r="L11" s="4" t="s">
        <v>148</v>
      </c>
      <c r="M11" s="4" t="s">
        <v>149</v>
      </c>
    </row>
    <row r="12">
      <c r="A12" s="4" t="s">
        <v>53</v>
      </c>
      <c r="B12" s="4">
        <v>8.0</v>
      </c>
      <c r="C12" s="4" t="s">
        <v>150</v>
      </c>
      <c r="D12" s="4" t="s">
        <v>151</v>
      </c>
      <c r="E12" s="4" t="s">
        <v>152</v>
      </c>
      <c r="F12" s="4" t="s">
        <v>153</v>
      </c>
      <c r="G12" s="4" t="s">
        <v>154</v>
      </c>
      <c r="H12" s="4" t="s">
        <v>155</v>
      </c>
      <c r="I12" s="4" t="s">
        <v>156</v>
      </c>
      <c r="J12" s="4" t="s">
        <v>157</v>
      </c>
      <c r="K12" s="4" t="s">
        <v>158</v>
      </c>
      <c r="L12" s="4" t="s">
        <v>159</v>
      </c>
      <c r="M12" s="4" t="s">
        <v>160</v>
      </c>
    </row>
    <row r="13">
      <c r="A13" s="4" t="s">
        <v>53</v>
      </c>
      <c r="B13" s="4">
        <v>9.0</v>
      </c>
      <c r="C13" s="4" t="s">
        <v>161</v>
      </c>
      <c r="D13" s="4" t="s">
        <v>162</v>
      </c>
      <c r="E13" s="4" t="s">
        <v>163</v>
      </c>
      <c r="F13" s="4" t="s">
        <v>164</v>
      </c>
      <c r="G13" s="4" t="s">
        <v>165</v>
      </c>
      <c r="H13" s="4" t="s">
        <v>166</v>
      </c>
      <c r="I13" s="4" t="s">
        <v>167</v>
      </c>
      <c r="J13" s="4" t="s">
        <v>168</v>
      </c>
      <c r="K13" s="4" t="s">
        <v>169</v>
      </c>
      <c r="L13" s="4" t="s">
        <v>170</v>
      </c>
      <c r="M13" s="4" t="s">
        <v>171</v>
      </c>
    </row>
    <row r="14">
      <c r="A14" s="4" t="s">
        <v>53</v>
      </c>
      <c r="B14" s="4">
        <v>10.0</v>
      </c>
      <c r="C14" s="4" t="s">
        <v>172</v>
      </c>
      <c r="D14" s="4" t="s">
        <v>173</v>
      </c>
      <c r="E14" s="4" t="s">
        <v>174</v>
      </c>
      <c r="F14" s="4" t="s">
        <v>175</v>
      </c>
      <c r="G14" s="4" t="s">
        <v>176</v>
      </c>
      <c r="H14" s="4" t="s">
        <v>177</v>
      </c>
      <c r="I14" s="4" t="s">
        <v>178</v>
      </c>
      <c r="J14" s="4" t="s">
        <v>179</v>
      </c>
      <c r="K14" s="4" t="s">
        <v>180</v>
      </c>
      <c r="L14" s="4" t="s">
        <v>181</v>
      </c>
      <c r="M14" s="4" t="s">
        <v>182</v>
      </c>
    </row>
    <row r="15">
      <c r="A15" s="4" t="s">
        <v>53</v>
      </c>
      <c r="B15" s="4">
        <v>11.0</v>
      </c>
      <c r="C15" s="4" t="s">
        <v>183</v>
      </c>
      <c r="D15" s="4" t="s">
        <v>184</v>
      </c>
      <c r="E15" s="4" t="s">
        <v>185</v>
      </c>
      <c r="F15" s="4" t="s">
        <v>186</v>
      </c>
      <c r="G15" s="4" t="s">
        <v>187</v>
      </c>
      <c r="H15" s="4" t="s">
        <v>188</v>
      </c>
      <c r="I15" s="4" t="s">
        <v>189</v>
      </c>
      <c r="J15" s="4" t="s">
        <v>190</v>
      </c>
      <c r="K15" s="4" t="s">
        <v>191</v>
      </c>
      <c r="L15" s="4" t="s">
        <v>192</v>
      </c>
      <c r="M15" s="4" t="s">
        <v>193</v>
      </c>
    </row>
    <row r="16">
      <c r="A16" s="4" t="s">
        <v>53</v>
      </c>
      <c r="B16" s="4">
        <v>12.0</v>
      </c>
      <c r="C16" s="4" t="s">
        <v>194</v>
      </c>
      <c r="D16" s="4" t="s">
        <v>195</v>
      </c>
      <c r="E16" s="4" t="s">
        <v>196</v>
      </c>
      <c r="F16" s="4" t="s">
        <v>197</v>
      </c>
      <c r="G16" s="4" t="s">
        <v>198</v>
      </c>
      <c r="H16" s="4" t="s">
        <v>199</v>
      </c>
      <c r="I16" s="4" t="s">
        <v>200</v>
      </c>
      <c r="J16" s="4" t="s">
        <v>201</v>
      </c>
      <c r="K16" s="4" t="s">
        <v>202</v>
      </c>
      <c r="L16" s="4" t="s">
        <v>203</v>
      </c>
      <c r="M16" s="4" t="s">
        <v>204</v>
      </c>
    </row>
    <row r="17">
      <c r="A17" s="4" t="s">
        <v>56</v>
      </c>
      <c r="B17" s="4">
        <v>13.0</v>
      </c>
      <c r="C17" s="4" t="s">
        <v>205</v>
      </c>
      <c r="D17" s="4" t="s">
        <v>206</v>
      </c>
      <c r="E17" s="4" t="s">
        <v>207</v>
      </c>
      <c r="F17" s="4" t="s">
        <v>208</v>
      </c>
      <c r="G17" s="4" t="s">
        <v>209</v>
      </c>
      <c r="H17" s="4" t="s">
        <v>210</v>
      </c>
      <c r="I17" s="4" t="s">
        <v>211</v>
      </c>
      <c r="J17" s="4" t="s">
        <v>212</v>
      </c>
      <c r="K17" s="4" t="s">
        <v>213</v>
      </c>
      <c r="L17" s="4" t="s">
        <v>214</v>
      </c>
      <c r="M17" s="4" t="s">
        <v>215</v>
      </c>
    </row>
    <row r="18">
      <c r="A18" s="4" t="s">
        <v>56</v>
      </c>
      <c r="B18" s="4">
        <v>14.0</v>
      </c>
      <c r="C18" s="4" t="s">
        <v>216</v>
      </c>
      <c r="D18" s="4" t="s">
        <v>217</v>
      </c>
      <c r="E18" s="4" t="s">
        <v>218</v>
      </c>
      <c r="F18" s="4" t="s">
        <v>219</v>
      </c>
      <c r="G18" s="4" t="s">
        <v>220</v>
      </c>
      <c r="H18" s="4" t="s">
        <v>221</v>
      </c>
      <c r="I18" s="4" t="s">
        <v>222</v>
      </c>
      <c r="J18" s="4" t="s">
        <v>223</v>
      </c>
      <c r="K18" s="4" t="s">
        <v>224</v>
      </c>
      <c r="L18" s="4" t="s">
        <v>225</v>
      </c>
      <c r="M18" s="4" t="s">
        <v>226</v>
      </c>
    </row>
    <row r="19">
      <c r="A19" s="4" t="s">
        <v>56</v>
      </c>
      <c r="B19" s="4">
        <v>15.0</v>
      </c>
      <c r="C19" s="4" t="s">
        <v>227</v>
      </c>
      <c r="D19" s="4" t="s">
        <v>228</v>
      </c>
      <c r="E19" s="4" t="s">
        <v>229</v>
      </c>
      <c r="F19" s="4" t="s">
        <v>230</v>
      </c>
      <c r="G19" s="4" t="s">
        <v>231</v>
      </c>
      <c r="H19" s="4" t="s">
        <v>232</v>
      </c>
      <c r="I19" s="4" t="s">
        <v>233</v>
      </c>
      <c r="J19" s="4" t="s">
        <v>234</v>
      </c>
      <c r="K19" s="4" t="s">
        <v>235</v>
      </c>
      <c r="L19" s="4" t="s">
        <v>236</v>
      </c>
      <c r="M19" s="4" t="s">
        <v>237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M1"/>
    <mergeCell ref="A2:M2"/>
  </mergeCells>
  <conditionalFormatting sqref="A5:A1000">
    <cfRule type="expression" dxfId="4" priority="1">
      <formula>A5="Phase 1"</formula>
    </cfRule>
  </conditionalFormatting>
  <conditionalFormatting sqref="A5:A1000">
    <cfRule type="expression" dxfId="5" priority="2">
      <formula>A5="Phase 2"</formula>
    </cfRule>
  </conditionalFormatting>
  <conditionalFormatting sqref="A5:A1000">
    <cfRule type="expression" dxfId="6" priority="3">
      <formula>A5="Phase 3"</formula>
    </cfRule>
  </conditionalFormatting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0"/>
    <col customWidth="1" min="2" max="2" width="34.0"/>
    <col customWidth="1" min="3" max="3" width="38.0"/>
    <col customWidth="1" min="4" max="4" width="46.0"/>
    <col customWidth="1" min="5" max="5" width="18.0"/>
    <col customWidth="1" min="6" max="6" width="42.0"/>
    <col customWidth="1" min="7" max="7" width="55.0"/>
    <col customWidth="1" min="8" max="8" width="52.0"/>
    <col customWidth="1" min="9" max="9" width="12.0"/>
    <col customWidth="1" min="10" max="10" width="16.0"/>
    <col customWidth="1" min="11" max="11" width="44.0"/>
    <col customWidth="1" min="12" max="12" width="68.0"/>
    <col customWidth="1" min="13" max="13" width="58.0"/>
    <col customWidth="1" min="14" max="14" width="40.0"/>
    <col customWidth="1" min="15" max="26" width="8.63"/>
  </cols>
  <sheetData>
    <row r="1" ht="18.75" customHeight="1">
      <c r="A1" s="1" t="s">
        <v>238</v>
      </c>
    </row>
    <row r="2" ht="31.5" customHeight="1">
      <c r="A2" s="2" t="s">
        <v>239</v>
      </c>
    </row>
    <row r="4" ht="30.0" customHeight="1">
      <c r="A4" s="3" t="s">
        <v>47</v>
      </c>
      <c r="B4" s="3" t="s">
        <v>240</v>
      </c>
      <c r="C4" s="3" t="s">
        <v>241</v>
      </c>
      <c r="D4" s="3" t="s">
        <v>242</v>
      </c>
      <c r="E4" s="3" t="s">
        <v>243</v>
      </c>
      <c r="F4" s="3" t="s">
        <v>244</v>
      </c>
      <c r="G4" s="3" t="s">
        <v>245</v>
      </c>
      <c r="H4" s="3" t="s">
        <v>246</v>
      </c>
      <c r="I4" s="3" t="s">
        <v>247</v>
      </c>
      <c r="J4" s="3" t="s">
        <v>248</v>
      </c>
      <c r="K4" s="3" t="s">
        <v>249</v>
      </c>
      <c r="L4" s="3" t="s">
        <v>250</v>
      </c>
      <c r="M4" s="3" t="s">
        <v>251</v>
      </c>
      <c r="N4" s="3" t="s">
        <v>252</v>
      </c>
    </row>
    <row r="5">
      <c r="A5" s="4" t="s">
        <v>50</v>
      </c>
      <c r="B5" s="4" t="s">
        <v>73</v>
      </c>
      <c r="C5" s="4" t="s">
        <v>253</v>
      </c>
      <c r="D5" s="4" t="s">
        <v>254</v>
      </c>
      <c r="E5" s="4" t="s">
        <v>255</v>
      </c>
      <c r="F5" s="4" t="s">
        <v>256</v>
      </c>
      <c r="G5" s="4" t="s">
        <v>257</v>
      </c>
      <c r="H5" s="4" t="s">
        <v>258</v>
      </c>
      <c r="I5" s="4" t="s">
        <v>259</v>
      </c>
      <c r="J5" s="4" t="s">
        <v>260</v>
      </c>
      <c r="K5" s="4" t="s">
        <v>261</v>
      </c>
      <c r="L5" s="4" t="s">
        <v>262</v>
      </c>
      <c r="M5" s="4" t="s">
        <v>263</v>
      </c>
      <c r="N5" s="4" t="s">
        <v>264</v>
      </c>
    </row>
    <row r="6">
      <c r="A6" s="4" t="s">
        <v>50</v>
      </c>
      <c r="B6" s="4" t="s">
        <v>73</v>
      </c>
      <c r="C6" s="4" t="s">
        <v>265</v>
      </c>
      <c r="D6" s="4" t="s">
        <v>266</v>
      </c>
      <c r="E6" s="4" t="s">
        <v>267</v>
      </c>
      <c r="F6" s="4" t="s">
        <v>268</v>
      </c>
      <c r="G6" s="4" t="s">
        <v>269</v>
      </c>
      <c r="H6" s="4" t="s">
        <v>270</v>
      </c>
      <c r="I6" s="4" t="s">
        <v>259</v>
      </c>
      <c r="J6" s="4" t="s">
        <v>260</v>
      </c>
      <c r="K6" s="4" t="s">
        <v>271</v>
      </c>
      <c r="L6" s="4" t="s">
        <v>272</v>
      </c>
      <c r="M6" s="4" t="s">
        <v>263</v>
      </c>
      <c r="N6" s="4" t="s">
        <v>273</v>
      </c>
    </row>
    <row r="7">
      <c r="A7" s="4" t="s">
        <v>50</v>
      </c>
      <c r="B7" s="4" t="s">
        <v>73</v>
      </c>
      <c r="C7" s="4" t="s">
        <v>274</v>
      </c>
      <c r="D7" s="4" t="s">
        <v>275</v>
      </c>
      <c r="E7" s="4" t="s">
        <v>255</v>
      </c>
      <c r="F7" s="4" t="s">
        <v>276</v>
      </c>
      <c r="G7" s="4" t="s">
        <v>277</v>
      </c>
      <c r="H7" s="4" t="s">
        <v>278</v>
      </c>
      <c r="I7" s="4" t="s">
        <v>259</v>
      </c>
      <c r="J7" s="4" t="s">
        <v>260</v>
      </c>
      <c r="K7" s="4" t="s">
        <v>279</v>
      </c>
      <c r="L7" s="4" t="s">
        <v>280</v>
      </c>
      <c r="M7" s="4" t="s">
        <v>263</v>
      </c>
      <c r="N7" s="4" t="s">
        <v>281</v>
      </c>
    </row>
    <row r="8">
      <c r="A8" s="4" t="s">
        <v>50</v>
      </c>
      <c r="B8" s="4" t="s">
        <v>73</v>
      </c>
      <c r="C8" s="4" t="s">
        <v>282</v>
      </c>
      <c r="D8" s="4" t="s">
        <v>283</v>
      </c>
      <c r="E8" s="4" t="s">
        <v>267</v>
      </c>
      <c r="F8" s="4" t="s">
        <v>284</v>
      </c>
      <c r="G8" s="4" t="s">
        <v>285</v>
      </c>
      <c r="H8" s="4" t="s">
        <v>286</v>
      </c>
      <c r="I8" s="4" t="s">
        <v>259</v>
      </c>
      <c r="J8" s="4" t="s">
        <v>260</v>
      </c>
      <c r="K8" s="4" t="s">
        <v>287</v>
      </c>
      <c r="L8" s="4" t="s">
        <v>288</v>
      </c>
      <c r="M8" s="4" t="s">
        <v>263</v>
      </c>
      <c r="N8" s="4" t="s">
        <v>289</v>
      </c>
    </row>
    <row r="9">
      <c r="A9" s="4" t="s">
        <v>50</v>
      </c>
      <c r="B9" s="4" t="s">
        <v>73</v>
      </c>
      <c r="C9" s="4" t="s">
        <v>290</v>
      </c>
      <c r="D9" s="4" t="s">
        <v>291</v>
      </c>
      <c r="E9" s="4" t="s">
        <v>255</v>
      </c>
      <c r="F9" s="4" t="s">
        <v>292</v>
      </c>
      <c r="G9" s="4" t="s">
        <v>293</v>
      </c>
      <c r="H9" s="4" t="s">
        <v>294</v>
      </c>
      <c r="I9" s="4" t="s">
        <v>259</v>
      </c>
      <c r="J9" s="4" t="s">
        <v>260</v>
      </c>
      <c r="K9" s="4" t="s">
        <v>295</v>
      </c>
      <c r="L9" s="4" t="s">
        <v>296</v>
      </c>
      <c r="M9" s="4" t="s">
        <v>263</v>
      </c>
      <c r="N9" s="4" t="s">
        <v>289</v>
      </c>
    </row>
    <row r="10">
      <c r="A10" s="4" t="s">
        <v>50</v>
      </c>
      <c r="B10" s="4" t="s">
        <v>73</v>
      </c>
      <c r="C10" s="4" t="s">
        <v>297</v>
      </c>
      <c r="D10" s="4" t="s">
        <v>298</v>
      </c>
      <c r="E10" s="4" t="s">
        <v>267</v>
      </c>
      <c r="F10" s="4" t="s">
        <v>299</v>
      </c>
      <c r="G10" s="4" t="s">
        <v>300</v>
      </c>
      <c r="H10" s="4" t="s">
        <v>301</v>
      </c>
      <c r="I10" s="4" t="s">
        <v>259</v>
      </c>
      <c r="J10" s="4" t="s">
        <v>260</v>
      </c>
      <c r="K10" s="4" t="s">
        <v>302</v>
      </c>
      <c r="L10" s="4" t="s">
        <v>303</v>
      </c>
      <c r="M10" s="4" t="s">
        <v>263</v>
      </c>
      <c r="N10" s="4" t="s">
        <v>304</v>
      </c>
    </row>
    <row r="11">
      <c r="A11" s="4" t="s">
        <v>50</v>
      </c>
      <c r="B11" s="4" t="s">
        <v>73</v>
      </c>
      <c r="C11" s="4" t="s">
        <v>305</v>
      </c>
      <c r="D11" s="4" t="s">
        <v>306</v>
      </c>
      <c r="E11" s="4" t="s">
        <v>255</v>
      </c>
      <c r="F11" s="4" t="s">
        <v>307</v>
      </c>
      <c r="G11" s="4" t="s">
        <v>308</v>
      </c>
      <c r="H11" s="4" t="s">
        <v>309</v>
      </c>
      <c r="I11" s="4" t="s">
        <v>259</v>
      </c>
      <c r="J11" s="4" t="s">
        <v>260</v>
      </c>
      <c r="K11" s="4" t="s">
        <v>310</v>
      </c>
      <c r="L11" s="4" t="s">
        <v>311</v>
      </c>
      <c r="M11" s="4" t="s">
        <v>263</v>
      </c>
      <c r="N11" s="4" t="s">
        <v>312</v>
      </c>
    </row>
    <row r="12">
      <c r="A12" s="4" t="s">
        <v>50</v>
      </c>
      <c r="B12" s="4" t="s">
        <v>73</v>
      </c>
      <c r="C12" s="4" t="s">
        <v>313</v>
      </c>
      <c r="D12" s="4" t="s">
        <v>314</v>
      </c>
      <c r="E12" s="4" t="s">
        <v>315</v>
      </c>
      <c r="F12" s="4" t="s">
        <v>316</v>
      </c>
      <c r="G12" s="4" t="s">
        <v>317</v>
      </c>
      <c r="H12" s="4" t="s">
        <v>318</v>
      </c>
      <c r="I12" s="4" t="s">
        <v>259</v>
      </c>
      <c r="J12" s="4" t="s">
        <v>260</v>
      </c>
      <c r="K12" s="4" t="s">
        <v>319</v>
      </c>
      <c r="L12" s="4" t="s">
        <v>320</v>
      </c>
      <c r="M12" s="4" t="s">
        <v>263</v>
      </c>
      <c r="N12" s="4" t="s">
        <v>321</v>
      </c>
    </row>
    <row r="13">
      <c r="A13" s="4" t="s">
        <v>50</v>
      </c>
      <c r="B13" s="4" t="s">
        <v>84</v>
      </c>
      <c r="C13" s="4" t="s">
        <v>322</v>
      </c>
      <c r="D13" s="4" t="s">
        <v>323</v>
      </c>
      <c r="E13" s="4" t="s">
        <v>255</v>
      </c>
      <c r="F13" s="4" t="s">
        <v>324</v>
      </c>
      <c r="G13" s="4" t="s">
        <v>325</v>
      </c>
      <c r="H13" s="4" t="s">
        <v>326</v>
      </c>
      <c r="I13" s="4" t="s">
        <v>259</v>
      </c>
      <c r="J13" s="4" t="s">
        <v>260</v>
      </c>
      <c r="K13" s="4" t="s">
        <v>327</v>
      </c>
      <c r="L13" s="4" t="s">
        <v>328</v>
      </c>
      <c r="M13" s="4" t="s">
        <v>263</v>
      </c>
      <c r="N13" s="4" t="s">
        <v>329</v>
      </c>
    </row>
    <row r="14">
      <c r="A14" s="4" t="s">
        <v>50</v>
      </c>
      <c r="B14" s="4" t="s">
        <v>84</v>
      </c>
      <c r="C14" s="4" t="s">
        <v>330</v>
      </c>
      <c r="D14" s="4" t="s">
        <v>331</v>
      </c>
      <c r="E14" s="4" t="s">
        <v>255</v>
      </c>
      <c r="F14" s="4" t="s">
        <v>332</v>
      </c>
      <c r="G14" s="4" t="s">
        <v>333</v>
      </c>
      <c r="H14" s="4" t="s">
        <v>334</v>
      </c>
      <c r="I14" s="4" t="s">
        <v>259</v>
      </c>
      <c r="J14" s="4" t="s">
        <v>260</v>
      </c>
      <c r="K14" s="4" t="s">
        <v>335</v>
      </c>
      <c r="L14" s="4" t="s">
        <v>336</v>
      </c>
      <c r="M14" s="4" t="s">
        <v>263</v>
      </c>
      <c r="N14" s="4" t="s">
        <v>337</v>
      </c>
    </row>
    <row r="15">
      <c r="A15" s="4" t="s">
        <v>50</v>
      </c>
      <c r="B15" s="4" t="s">
        <v>84</v>
      </c>
      <c r="C15" s="4" t="s">
        <v>338</v>
      </c>
      <c r="D15" s="4" t="s">
        <v>339</v>
      </c>
      <c r="E15" s="4" t="s">
        <v>267</v>
      </c>
      <c r="F15" s="4" t="s">
        <v>340</v>
      </c>
      <c r="G15" s="4" t="s">
        <v>341</v>
      </c>
      <c r="H15" s="4" t="s">
        <v>342</v>
      </c>
      <c r="I15" s="4" t="s">
        <v>259</v>
      </c>
      <c r="J15" s="4" t="s">
        <v>260</v>
      </c>
      <c r="K15" s="4" t="s">
        <v>343</v>
      </c>
      <c r="L15" s="4" t="s">
        <v>344</v>
      </c>
      <c r="M15" s="4" t="s">
        <v>263</v>
      </c>
      <c r="N15" s="4" t="s">
        <v>345</v>
      </c>
    </row>
    <row r="16">
      <c r="A16" s="4" t="s">
        <v>50</v>
      </c>
      <c r="B16" s="4" t="s">
        <v>84</v>
      </c>
      <c r="C16" s="4" t="s">
        <v>346</v>
      </c>
      <c r="D16" s="4" t="s">
        <v>347</v>
      </c>
      <c r="E16" s="4" t="s">
        <v>267</v>
      </c>
      <c r="F16" s="4" t="s">
        <v>348</v>
      </c>
      <c r="G16" s="4" t="s">
        <v>349</v>
      </c>
      <c r="H16" s="4" t="s">
        <v>350</v>
      </c>
      <c r="I16" s="4" t="s">
        <v>259</v>
      </c>
      <c r="J16" s="4" t="s">
        <v>260</v>
      </c>
      <c r="K16" s="4" t="s">
        <v>351</v>
      </c>
      <c r="L16" s="4" t="s">
        <v>352</v>
      </c>
      <c r="M16" s="4" t="s">
        <v>263</v>
      </c>
      <c r="N16" s="4" t="s">
        <v>353</v>
      </c>
    </row>
    <row r="17">
      <c r="A17" s="4" t="s">
        <v>50</v>
      </c>
      <c r="B17" s="4" t="s">
        <v>84</v>
      </c>
      <c r="C17" s="4" t="s">
        <v>354</v>
      </c>
      <c r="D17" s="4" t="s">
        <v>355</v>
      </c>
      <c r="E17" s="4" t="s">
        <v>267</v>
      </c>
      <c r="F17" s="4" t="s">
        <v>356</v>
      </c>
      <c r="G17" s="4" t="s">
        <v>357</v>
      </c>
      <c r="H17" s="4" t="s">
        <v>358</v>
      </c>
      <c r="I17" s="4" t="s">
        <v>259</v>
      </c>
      <c r="J17" s="4" t="s">
        <v>260</v>
      </c>
      <c r="K17" s="4" t="s">
        <v>359</v>
      </c>
      <c r="L17" s="4" t="s">
        <v>360</v>
      </c>
      <c r="M17" s="4" t="s">
        <v>263</v>
      </c>
      <c r="N17" s="4" t="s">
        <v>361</v>
      </c>
    </row>
    <row r="18">
      <c r="A18" s="4" t="s">
        <v>50</v>
      </c>
      <c r="B18" s="4" t="s">
        <v>84</v>
      </c>
      <c r="C18" s="4" t="s">
        <v>362</v>
      </c>
      <c r="D18" s="4" t="s">
        <v>363</v>
      </c>
      <c r="E18" s="4" t="s">
        <v>267</v>
      </c>
      <c r="F18" s="4" t="s">
        <v>364</v>
      </c>
      <c r="G18" s="4" t="s">
        <v>365</v>
      </c>
      <c r="H18" s="4" t="s">
        <v>366</v>
      </c>
      <c r="I18" s="4" t="s">
        <v>259</v>
      </c>
      <c r="J18" s="4" t="s">
        <v>260</v>
      </c>
      <c r="K18" s="4" t="s">
        <v>367</v>
      </c>
      <c r="L18" s="4" t="s">
        <v>368</v>
      </c>
      <c r="M18" s="4" t="s">
        <v>263</v>
      </c>
      <c r="N18" s="4" t="s">
        <v>337</v>
      </c>
    </row>
    <row r="19">
      <c r="A19" s="4" t="s">
        <v>50</v>
      </c>
      <c r="B19" s="4" t="s">
        <v>84</v>
      </c>
      <c r="C19" s="4" t="s">
        <v>369</v>
      </c>
      <c r="D19" s="4" t="s">
        <v>370</v>
      </c>
      <c r="E19" s="4" t="s">
        <v>267</v>
      </c>
      <c r="F19" s="4" t="s">
        <v>371</v>
      </c>
      <c r="G19" s="4" t="s">
        <v>372</v>
      </c>
      <c r="H19" s="4" t="s">
        <v>373</v>
      </c>
      <c r="I19" s="4" t="s">
        <v>259</v>
      </c>
      <c r="J19" s="4" t="s">
        <v>260</v>
      </c>
      <c r="K19" s="4" t="s">
        <v>374</v>
      </c>
      <c r="L19" s="4" t="s">
        <v>375</v>
      </c>
      <c r="M19" s="4" t="s">
        <v>263</v>
      </c>
      <c r="N19" s="4" t="s">
        <v>376</v>
      </c>
    </row>
    <row r="20">
      <c r="A20" s="4" t="s">
        <v>50</v>
      </c>
      <c r="B20" s="4" t="s">
        <v>84</v>
      </c>
      <c r="C20" s="4" t="s">
        <v>377</v>
      </c>
      <c r="D20" s="4" t="s">
        <v>378</v>
      </c>
      <c r="E20" s="4" t="s">
        <v>315</v>
      </c>
      <c r="F20" s="4" t="s">
        <v>379</v>
      </c>
      <c r="G20" s="4" t="s">
        <v>380</v>
      </c>
      <c r="H20" s="4" t="s">
        <v>381</v>
      </c>
      <c r="I20" s="4" t="s">
        <v>259</v>
      </c>
      <c r="J20" s="4" t="s">
        <v>260</v>
      </c>
      <c r="K20" s="4" t="s">
        <v>382</v>
      </c>
      <c r="L20" s="4" t="s">
        <v>383</v>
      </c>
      <c r="M20" s="4" t="s">
        <v>263</v>
      </c>
      <c r="N20" s="4" t="s">
        <v>384</v>
      </c>
    </row>
    <row r="21" ht="15.75" customHeight="1">
      <c r="A21" s="4" t="s">
        <v>50</v>
      </c>
      <c r="B21" s="4" t="s">
        <v>95</v>
      </c>
      <c r="C21" s="4" t="s">
        <v>385</v>
      </c>
      <c r="D21" s="4" t="s">
        <v>386</v>
      </c>
      <c r="E21" s="4" t="s">
        <v>255</v>
      </c>
      <c r="F21" s="4" t="s">
        <v>387</v>
      </c>
      <c r="G21" s="4" t="s">
        <v>388</v>
      </c>
      <c r="H21" s="4" t="s">
        <v>389</v>
      </c>
      <c r="I21" s="4" t="s">
        <v>259</v>
      </c>
      <c r="J21" s="4" t="s">
        <v>260</v>
      </c>
      <c r="K21" s="4" t="s">
        <v>390</v>
      </c>
      <c r="L21" s="4" t="s">
        <v>391</v>
      </c>
      <c r="M21" s="4" t="s">
        <v>263</v>
      </c>
      <c r="N21" s="4" t="s">
        <v>392</v>
      </c>
    </row>
    <row r="22" ht="15.75" customHeight="1">
      <c r="A22" s="4" t="s">
        <v>50</v>
      </c>
      <c r="B22" s="4" t="s">
        <v>95</v>
      </c>
      <c r="C22" s="4" t="s">
        <v>393</v>
      </c>
      <c r="D22" s="4" t="s">
        <v>394</v>
      </c>
      <c r="E22" s="4" t="s">
        <v>267</v>
      </c>
      <c r="F22" s="4" t="s">
        <v>395</v>
      </c>
      <c r="G22" s="4" t="s">
        <v>396</v>
      </c>
      <c r="H22" s="4" t="s">
        <v>397</v>
      </c>
      <c r="I22" s="4" t="s">
        <v>259</v>
      </c>
      <c r="J22" s="4" t="s">
        <v>260</v>
      </c>
      <c r="K22" s="4" t="s">
        <v>398</v>
      </c>
      <c r="L22" s="4" t="s">
        <v>399</v>
      </c>
      <c r="M22" s="4" t="s">
        <v>263</v>
      </c>
      <c r="N22" s="4" t="s">
        <v>400</v>
      </c>
    </row>
    <row r="23" ht="15.75" customHeight="1">
      <c r="A23" s="4" t="s">
        <v>50</v>
      </c>
      <c r="B23" s="4" t="s">
        <v>95</v>
      </c>
      <c r="C23" s="4" t="s">
        <v>401</v>
      </c>
      <c r="D23" s="4" t="s">
        <v>402</v>
      </c>
      <c r="E23" s="4" t="s">
        <v>267</v>
      </c>
      <c r="F23" s="4" t="s">
        <v>403</v>
      </c>
      <c r="G23" s="4" t="s">
        <v>404</v>
      </c>
      <c r="H23" s="4" t="s">
        <v>405</v>
      </c>
      <c r="I23" s="4" t="s">
        <v>259</v>
      </c>
      <c r="J23" s="4" t="s">
        <v>260</v>
      </c>
      <c r="K23" s="4" t="s">
        <v>406</v>
      </c>
      <c r="L23" s="4" t="s">
        <v>407</v>
      </c>
      <c r="M23" s="4" t="s">
        <v>263</v>
      </c>
      <c r="N23" s="4" t="s">
        <v>408</v>
      </c>
    </row>
    <row r="24" ht="15.75" customHeight="1">
      <c r="A24" s="4" t="s">
        <v>50</v>
      </c>
      <c r="B24" s="4" t="s">
        <v>95</v>
      </c>
      <c r="C24" s="4" t="s">
        <v>409</v>
      </c>
      <c r="D24" s="4" t="s">
        <v>410</v>
      </c>
      <c r="E24" s="4" t="s">
        <v>255</v>
      </c>
      <c r="F24" s="4" t="s">
        <v>411</v>
      </c>
      <c r="G24" s="4" t="s">
        <v>412</v>
      </c>
      <c r="H24" s="4" t="s">
        <v>413</v>
      </c>
      <c r="I24" s="4" t="s">
        <v>259</v>
      </c>
      <c r="J24" s="4" t="s">
        <v>260</v>
      </c>
      <c r="K24" s="4" t="s">
        <v>414</v>
      </c>
      <c r="L24" s="4" t="s">
        <v>415</v>
      </c>
      <c r="M24" s="4" t="s">
        <v>263</v>
      </c>
      <c r="N24" s="4" t="s">
        <v>408</v>
      </c>
    </row>
    <row r="25" ht="15.75" customHeight="1">
      <c r="A25" s="4" t="s">
        <v>50</v>
      </c>
      <c r="B25" s="4" t="s">
        <v>95</v>
      </c>
      <c r="C25" s="4" t="s">
        <v>416</v>
      </c>
      <c r="D25" s="4" t="s">
        <v>417</v>
      </c>
      <c r="E25" s="4" t="s">
        <v>267</v>
      </c>
      <c r="F25" s="4" t="s">
        <v>418</v>
      </c>
      <c r="G25" s="4" t="s">
        <v>419</v>
      </c>
      <c r="H25" s="4" t="s">
        <v>420</v>
      </c>
      <c r="I25" s="4" t="s">
        <v>259</v>
      </c>
      <c r="J25" s="4" t="s">
        <v>260</v>
      </c>
      <c r="K25" s="4" t="s">
        <v>421</v>
      </c>
      <c r="L25" s="4" t="s">
        <v>422</v>
      </c>
      <c r="M25" s="4" t="s">
        <v>263</v>
      </c>
      <c r="N25" s="4" t="s">
        <v>408</v>
      </c>
    </row>
    <row r="26" ht="15.75" customHeight="1">
      <c r="A26" s="4" t="s">
        <v>50</v>
      </c>
      <c r="B26" s="4" t="s">
        <v>95</v>
      </c>
      <c r="C26" s="4" t="s">
        <v>423</v>
      </c>
      <c r="D26" s="4" t="s">
        <v>424</v>
      </c>
      <c r="E26" s="4" t="s">
        <v>255</v>
      </c>
      <c r="F26" s="4" t="s">
        <v>425</v>
      </c>
      <c r="G26" s="4" t="s">
        <v>426</v>
      </c>
      <c r="H26" s="4" t="s">
        <v>427</v>
      </c>
      <c r="I26" s="4" t="s">
        <v>259</v>
      </c>
      <c r="J26" s="4" t="s">
        <v>260</v>
      </c>
      <c r="K26" s="4" t="s">
        <v>428</v>
      </c>
      <c r="L26" s="4" t="s">
        <v>429</v>
      </c>
      <c r="M26" s="4" t="s">
        <v>263</v>
      </c>
      <c r="N26" s="4" t="s">
        <v>408</v>
      </c>
    </row>
    <row r="27" ht="15.75" customHeight="1">
      <c r="A27" s="4" t="s">
        <v>50</v>
      </c>
      <c r="B27" s="4" t="s">
        <v>95</v>
      </c>
      <c r="C27" s="4" t="s">
        <v>430</v>
      </c>
      <c r="D27" s="4" t="s">
        <v>431</v>
      </c>
      <c r="E27" s="4" t="s">
        <v>267</v>
      </c>
      <c r="F27" s="4" t="s">
        <v>432</v>
      </c>
      <c r="G27" s="4" t="s">
        <v>433</v>
      </c>
      <c r="H27" s="4" t="s">
        <v>434</v>
      </c>
      <c r="I27" s="4" t="s">
        <v>259</v>
      </c>
      <c r="J27" s="4" t="s">
        <v>260</v>
      </c>
      <c r="K27" s="4" t="s">
        <v>435</v>
      </c>
      <c r="L27" s="4" t="s">
        <v>436</v>
      </c>
      <c r="M27" s="4" t="s">
        <v>263</v>
      </c>
      <c r="N27" s="4" t="s">
        <v>437</v>
      </c>
    </row>
    <row r="28" ht="15.75" customHeight="1">
      <c r="A28" s="4" t="s">
        <v>50</v>
      </c>
      <c r="B28" s="4" t="s">
        <v>95</v>
      </c>
      <c r="C28" s="4" t="s">
        <v>438</v>
      </c>
      <c r="D28" s="4" t="s">
        <v>439</v>
      </c>
      <c r="E28" s="4" t="s">
        <v>315</v>
      </c>
      <c r="F28" s="4" t="s">
        <v>440</v>
      </c>
      <c r="G28" s="4" t="s">
        <v>441</v>
      </c>
      <c r="H28" s="4" t="s">
        <v>442</v>
      </c>
      <c r="I28" s="4" t="s">
        <v>259</v>
      </c>
      <c r="J28" s="4" t="s">
        <v>260</v>
      </c>
      <c r="K28" s="4" t="s">
        <v>443</v>
      </c>
      <c r="L28" s="4" t="s">
        <v>444</v>
      </c>
      <c r="M28" s="4" t="s">
        <v>263</v>
      </c>
      <c r="N28" s="4" t="s">
        <v>445</v>
      </c>
    </row>
    <row r="29" ht="15.75" customHeight="1">
      <c r="A29" s="4" t="s">
        <v>50</v>
      </c>
      <c r="B29" s="4" t="s">
        <v>106</v>
      </c>
      <c r="C29" s="4" t="s">
        <v>446</v>
      </c>
      <c r="D29" s="4" t="s">
        <v>447</v>
      </c>
      <c r="E29" s="4" t="s">
        <v>255</v>
      </c>
      <c r="F29" s="4" t="s">
        <v>448</v>
      </c>
      <c r="G29" s="4" t="s">
        <v>449</v>
      </c>
      <c r="H29" s="4" t="s">
        <v>450</v>
      </c>
      <c r="I29" s="4" t="s">
        <v>259</v>
      </c>
      <c r="J29" s="4" t="s">
        <v>260</v>
      </c>
      <c r="K29" s="4" t="s">
        <v>451</v>
      </c>
      <c r="L29" s="4" t="s">
        <v>452</v>
      </c>
      <c r="M29" s="4" t="s">
        <v>263</v>
      </c>
      <c r="N29" s="4" t="s">
        <v>453</v>
      </c>
    </row>
    <row r="30" ht="15.75" customHeight="1">
      <c r="A30" s="4" t="s">
        <v>50</v>
      </c>
      <c r="B30" s="4" t="s">
        <v>106</v>
      </c>
      <c r="C30" s="4" t="s">
        <v>454</v>
      </c>
      <c r="D30" s="4" t="s">
        <v>455</v>
      </c>
      <c r="E30" s="4" t="s">
        <v>267</v>
      </c>
      <c r="F30" s="4" t="s">
        <v>456</v>
      </c>
      <c r="G30" s="4" t="s">
        <v>457</v>
      </c>
      <c r="H30" s="4" t="s">
        <v>458</v>
      </c>
      <c r="I30" s="4" t="s">
        <v>259</v>
      </c>
      <c r="J30" s="4" t="s">
        <v>260</v>
      </c>
      <c r="K30" s="4" t="s">
        <v>459</v>
      </c>
      <c r="L30" s="4" t="s">
        <v>460</v>
      </c>
      <c r="M30" s="4" t="s">
        <v>263</v>
      </c>
      <c r="N30" s="4" t="s">
        <v>461</v>
      </c>
    </row>
    <row r="31" ht="15.75" customHeight="1">
      <c r="A31" s="4" t="s">
        <v>50</v>
      </c>
      <c r="B31" s="4" t="s">
        <v>106</v>
      </c>
      <c r="C31" s="4" t="s">
        <v>462</v>
      </c>
      <c r="D31" s="4" t="s">
        <v>463</v>
      </c>
      <c r="E31" s="4" t="s">
        <v>267</v>
      </c>
      <c r="F31" s="4" t="s">
        <v>464</v>
      </c>
      <c r="G31" s="4" t="s">
        <v>465</v>
      </c>
      <c r="H31" s="4" t="s">
        <v>466</v>
      </c>
      <c r="I31" s="4" t="s">
        <v>259</v>
      </c>
      <c r="J31" s="4" t="s">
        <v>260</v>
      </c>
      <c r="K31" s="4" t="s">
        <v>467</v>
      </c>
      <c r="L31" s="4" t="s">
        <v>468</v>
      </c>
      <c r="M31" s="4" t="s">
        <v>263</v>
      </c>
      <c r="N31" s="4" t="s">
        <v>469</v>
      </c>
    </row>
    <row r="32" ht="15.75" customHeight="1">
      <c r="A32" s="4" t="s">
        <v>50</v>
      </c>
      <c r="B32" s="4" t="s">
        <v>106</v>
      </c>
      <c r="C32" s="4" t="s">
        <v>470</v>
      </c>
      <c r="D32" s="4" t="s">
        <v>471</v>
      </c>
      <c r="E32" s="4" t="s">
        <v>255</v>
      </c>
      <c r="F32" s="4" t="s">
        <v>472</v>
      </c>
      <c r="G32" s="4" t="s">
        <v>473</v>
      </c>
      <c r="H32" s="4" t="s">
        <v>474</v>
      </c>
      <c r="I32" s="4" t="s">
        <v>259</v>
      </c>
      <c r="J32" s="4" t="s">
        <v>260</v>
      </c>
      <c r="K32" s="4" t="s">
        <v>475</v>
      </c>
      <c r="L32" s="4" t="s">
        <v>476</v>
      </c>
      <c r="M32" s="4" t="s">
        <v>263</v>
      </c>
      <c r="N32" s="4" t="s">
        <v>453</v>
      </c>
    </row>
    <row r="33" ht="15.75" customHeight="1">
      <c r="A33" s="4" t="s">
        <v>50</v>
      </c>
      <c r="B33" s="4" t="s">
        <v>106</v>
      </c>
      <c r="C33" s="4" t="s">
        <v>477</v>
      </c>
      <c r="D33" s="4" t="s">
        <v>478</v>
      </c>
      <c r="E33" s="4" t="s">
        <v>267</v>
      </c>
      <c r="F33" s="4" t="s">
        <v>479</v>
      </c>
      <c r="G33" s="4" t="s">
        <v>480</v>
      </c>
      <c r="H33" s="4" t="s">
        <v>481</v>
      </c>
      <c r="I33" s="4" t="s">
        <v>259</v>
      </c>
      <c r="J33" s="4" t="s">
        <v>260</v>
      </c>
      <c r="K33" s="4" t="s">
        <v>482</v>
      </c>
      <c r="L33" s="4" t="s">
        <v>483</v>
      </c>
      <c r="M33" s="4" t="s">
        <v>263</v>
      </c>
      <c r="N33" s="4" t="s">
        <v>484</v>
      </c>
    </row>
    <row r="34" ht="15.75" customHeight="1">
      <c r="A34" s="4" t="s">
        <v>50</v>
      </c>
      <c r="B34" s="4" t="s">
        <v>106</v>
      </c>
      <c r="C34" s="4" t="s">
        <v>485</v>
      </c>
      <c r="D34" s="4" t="s">
        <v>486</v>
      </c>
      <c r="E34" s="4" t="s">
        <v>267</v>
      </c>
      <c r="F34" s="4" t="s">
        <v>487</v>
      </c>
      <c r="G34" s="4" t="s">
        <v>488</v>
      </c>
      <c r="H34" s="4" t="s">
        <v>489</v>
      </c>
      <c r="I34" s="4" t="s">
        <v>259</v>
      </c>
      <c r="J34" s="4" t="s">
        <v>260</v>
      </c>
      <c r="K34" s="4" t="s">
        <v>490</v>
      </c>
      <c r="L34" s="4" t="s">
        <v>491</v>
      </c>
      <c r="M34" s="4" t="s">
        <v>263</v>
      </c>
      <c r="N34" s="4" t="s">
        <v>492</v>
      </c>
    </row>
    <row r="35" ht="15.75" customHeight="1">
      <c r="A35" s="4" t="s">
        <v>50</v>
      </c>
      <c r="B35" s="4" t="s">
        <v>106</v>
      </c>
      <c r="C35" s="4" t="s">
        <v>493</v>
      </c>
      <c r="D35" s="4" t="s">
        <v>494</v>
      </c>
      <c r="E35" s="4" t="s">
        <v>267</v>
      </c>
      <c r="F35" s="4" t="s">
        <v>495</v>
      </c>
      <c r="G35" s="4" t="s">
        <v>496</v>
      </c>
      <c r="H35" s="4" t="s">
        <v>497</v>
      </c>
      <c r="I35" s="4" t="s">
        <v>259</v>
      </c>
      <c r="J35" s="4" t="s">
        <v>260</v>
      </c>
      <c r="K35" s="4" t="s">
        <v>498</v>
      </c>
      <c r="L35" s="4" t="s">
        <v>499</v>
      </c>
      <c r="M35" s="4" t="s">
        <v>263</v>
      </c>
      <c r="N35" s="4" t="s">
        <v>500</v>
      </c>
    </row>
    <row r="36" ht="15.75" customHeight="1">
      <c r="A36" s="4" t="s">
        <v>50</v>
      </c>
      <c r="B36" s="4" t="s">
        <v>106</v>
      </c>
      <c r="C36" s="4" t="s">
        <v>501</v>
      </c>
      <c r="D36" s="4" t="s">
        <v>502</v>
      </c>
      <c r="E36" s="4" t="s">
        <v>315</v>
      </c>
      <c r="F36" s="4" t="s">
        <v>503</v>
      </c>
      <c r="G36" s="4" t="s">
        <v>504</v>
      </c>
      <c r="H36" s="4" t="s">
        <v>505</v>
      </c>
      <c r="I36" s="4" t="s">
        <v>259</v>
      </c>
      <c r="J36" s="4" t="s">
        <v>260</v>
      </c>
      <c r="K36" s="4" t="s">
        <v>506</v>
      </c>
      <c r="L36" s="4" t="s">
        <v>507</v>
      </c>
      <c r="M36" s="4" t="s">
        <v>263</v>
      </c>
      <c r="N36" s="4" t="s">
        <v>453</v>
      </c>
    </row>
    <row r="37" ht="15.75" customHeight="1">
      <c r="A37" s="4" t="s">
        <v>50</v>
      </c>
      <c r="B37" s="4" t="s">
        <v>117</v>
      </c>
      <c r="C37" s="4" t="s">
        <v>508</v>
      </c>
      <c r="D37" s="4" t="s">
        <v>509</v>
      </c>
      <c r="E37" s="4" t="s">
        <v>255</v>
      </c>
      <c r="F37" s="4" t="s">
        <v>510</v>
      </c>
      <c r="G37" s="4" t="s">
        <v>511</v>
      </c>
      <c r="H37" s="4" t="s">
        <v>512</v>
      </c>
      <c r="I37" s="4" t="s">
        <v>259</v>
      </c>
      <c r="J37" s="4" t="s">
        <v>260</v>
      </c>
      <c r="K37" s="4" t="s">
        <v>513</v>
      </c>
      <c r="L37" s="4" t="s">
        <v>514</v>
      </c>
      <c r="M37" s="4" t="s">
        <v>263</v>
      </c>
      <c r="N37" s="4" t="s">
        <v>515</v>
      </c>
    </row>
    <row r="38" ht="15.75" customHeight="1">
      <c r="A38" s="4" t="s">
        <v>50</v>
      </c>
      <c r="B38" s="4" t="s">
        <v>117</v>
      </c>
      <c r="C38" s="4" t="s">
        <v>516</v>
      </c>
      <c r="D38" s="4" t="s">
        <v>517</v>
      </c>
      <c r="E38" s="4" t="s">
        <v>267</v>
      </c>
      <c r="F38" s="4" t="s">
        <v>518</v>
      </c>
      <c r="G38" s="4" t="s">
        <v>519</v>
      </c>
      <c r="H38" s="4" t="s">
        <v>520</v>
      </c>
      <c r="I38" s="4" t="s">
        <v>259</v>
      </c>
      <c r="J38" s="4" t="s">
        <v>260</v>
      </c>
      <c r="K38" s="4" t="s">
        <v>521</v>
      </c>
      <c r="L38" s="4" t="s">
        <v>522</v>
      </c>
      <c r="M38" s="4" t="s">
        <v>263</v>
      </c>
      <c r="N38" s="4" t="s">
        <v>523</v>
      </c>
    </row>
    <row r="39" ht="15.75" customHeight="1">
      <c r="A39" s="4" t="s">
        <v>50</v>
      </c>
      <c r="B39" s="4" t="s">
        <v>117</v>
      </c>
      <c r="C39" s="4" t="s">
        <v>524</v>
      </c>
      <c r="D39" s="4" t="s">
        <v>525</v>
      </c>
      <c r="E39" s="4" t="s">
        <v>267</v>
      </c>
      <c r="F39" s="4" t="s">
        <v>526</v>
      </c>
      <c r="G39" s="4" t="s">
        <v>527</v>
      </c>
      <c r="H39" s="4" t="s">
        <v>528</v>
      </c>
      <c r="I39" s="4" t="s">
        <v>259</v>
      </c>
      <c r="J39" s="4" t="s">
        <v>260</v>
      </c>
      <c r="K39" s="4" t="s">
        <v>529</v>
      </c>
      <c r="L39" s="4" t="s">
        <v>530</v>
      </c>
      <c r="M39" s="4" t="s">
        <v>263</v>
      </c>
      <c r="N39" s="4" t="s">
        <v>523</v>
      </c>
    </row>
    <row r="40" ht="15.75" customHeight="1">
      <c r="A40" s="4" t="s">
        <v>50</v>
      </c>
      <c r="B40" s="4" t="s">
        <v>117</v>
      </c>
      <c r="C40" s="4" t="s">
        <v>531</v>
      </c>
      <c r="D40" s="4" t="s">
        <v>532</v>
      </c>
      <c r="E40" s="4" t="s">
        <v>267</v>
      </c>
      <c r="F40" s="4" t="s">
        <v>533</v>
      </c>
      <c r="G40" s="4" t="s">
        <v>534</v>
      </c>
      <c r="H40" s="4" t="s">
        <v>535</v>
      </c>
      <c r="I40" s="4" t="s">
        <v>259</v>
      </c>
      <c r="J40" s="4" t="s">
        <v>260</v>
      </c>
      <c r="K40" s="4" t="s">
        <v>536</v>
      </c>
      <c r="L40" s="4" t="s">
        <v>537</v>
      </c>
      <c r="M40" s="4" t="s">
        <v>263</v>
      </c>
      <c r="N40" s="4" t="s">
        <v>538</v>
      </c>
    </row>
    <row r="41" ht="15.75" customHeight="1">
      <c r="A41" s="4" t="s">
        <v>50</v>
      </c>
      <c r="B41" s="4" t="s">
        <v>117</v>
      </c>
      <c r="C41" s="4" t="s">
        <v>539</v>
      </c>
      <c r="D41" s="4" t="s">
        <v>540</v>
      </c>
      <c r="E41" s="4" t="s">
        <v>255</v>
      </c>
      <c r="F41" s="4" t="s">
        <v>541</v>
      </c>
      <c r="G41" s="4" t="s">
        <v>542</v>
      </c>
      <c r="H41" s="4" t="s">
        <v>543</v>
      </c>
      <c r="I41" s="4" t="s">
        <v>259</v>
      </c>
      <c r="J41" s="4" t="s">
        <v>260</v>
      </c>
      <c r="K41" s="4" t="s">
        <v>544</v>
      </c>
      <c r="L41" s="4" t="s">
        <v>545</v>
      </c>
      <c r="M41" s="4" t="s">
        <v>263</v>
      </c>
      <c r="N41" s="4" t="s">
        <v>546</v>
      </c>
    </row>
    <row r="42" ht="15.75" customHeight="1">
      <c r="A42" s="4" t="s">
        <v>50</v>
      </c>
      <c r="B42" s="4" t="s">
        <v>117</v>
      </c>
      <c r="C42" s="4" t="s">
        <v>547</v>
      </c>
      <c r="D42" s="4" t="s">
        <v>548</v>
      </c>
      <c r="E42" s="4" t="s">
        <v>267</v>
      </c>
      <c r="F42" s="4" t="s">
        <v>549</v>
      </c>
      <c r="G42" s="4" t="s">
        <v>550</v>
      </c>
      <c r="H42" s="4" t="s">
        <v>551</v>
      </c>
      <c r="I42" s="4" t="s">
        <v>259</v>
      </c>
      <c r="J42" s="4" t="s">
        <v>260</v>
      </c>
      <c r="K42" s="4" t="s">
        <v>552</v>
      </c>
      <c r="L42" s="4" t="s">
        <v>553</v>
      </c>
      <c r="M42" s="4" t="s">
        <v>263</v>
      </c>
      <c r="N42" s="4" t="s">
        <v>546</v>
      </c>
    </row>
    <row r="43" ht="15.75" customHeight="1">
      <c r="A43" s="4" t="s">
        <v>50</v>
      </c>
      <c r="B43" s="4" t="s">
        <v>117</v>
      </c>
      <c r="C43" s="4" t="s">
        <v>554</v>
      </c>
      <c r="D43" s="4" t="s">
        <v>555</v>
      </c>
      <c r="E43" s="4" t="s">
        <v>267</v>
      </c>
      <c r="F43" s="4" t="s">
        <v>556</v>
      </c>
      <c r="G43" s="4" t="s">
        <v>557</v>
      </c>
      <c r="H43" s="4" t="s">
        <v>558</v>
      </c>
      <c r="I43" s="4" t="s">
        <v>259</v>
      </c>
      <c r="J43" s="4" t="s">
        <v>260</v>
      </c>
      <c r="K43" s="4" t="s">
        <v>559</v>
      </c>
      <c r="L43" s="4" t="s">
        <v>560</v>
      </c>
      <c r="M43" s="4" t="s">
        <v>263</v>
      </c>
      <c r="N43" s="4" t="s">
        <v>561</v>
      </c>
    </row>
    <row r="44" ht="15.75" customHeight="1">
      <c r="A44" s="4" t="s">
        <v>50</v>
      </c>
      <c r="B44" s="4" t="s">
        <v>117</v>
      </c>
      <c r="C44" s="4" t="s">
        <v>562</v>
      </c>
      <c r="D44" s="4" t="s">
        <v>563</v>
      </c>
      <c r="E44" s="4" t="s">
        <v>315</v>
      </c>
      <c r="F44" s="4" t="s">
        <v>564</v>
      </c>
      <c r="G44" s="4" t="s">
        <v>565</v>
      </c>
      <c r="H44" s="4" t="s">
        <v>566</v>
      </c>
      <c r="I44" s="4" t="s">
        <v>259</v>
      </c>
      <c r="J44" s="4" t="s">
        <v>260</v>
      </c>
      <c r="K44" s="4" t="s">
        <v>567</v>
      </c>
      <c r="L44" s="4" t="s">
        <v>568</v>
      </c>
      <c r="M44" s="4" t="s">
        <v>263</v>
      </c>
      <c r="N44" s="4" t="s">
        <v>523</v>
      </c>
    </row>
    <row r="45" ht="15.75" customHeight="1">
      <c r="A45" s="4" t="s">
        <v>50</v>
      </c>
      <c r="B45" s="4" t="s">
        <v>128</v>
      </c>
      <c r="C45" s="4" t="s">
        <v>569</v>
      </c>
      <c r="D45" s="4" t="s">
        <v>570</v>
      </c>
      <c r="E45" s="4" t="s">
        <v>255</v>
      </c>
      <c r="F45" s="4" t="s">
        <v>571</v>
      </c>
      <c r="G45" s="4" t="s">
        <v>572</v>
      </c>
      <c r="H45" s="4" t="s">
        <v>573</v>
      </c>
      <c r="I45" s="4" t="s">
        <v>259</v>
      </c>
      <c r="J45" s="4" t="s">
        <v>260</v>
      </c>
      <c r="K45" s="4" t="s">
        <v>574</v>
      </c>
      <c r="L45" s="4" t="s">
        <v>575</v>
      </c>
      <c r="M45" s="4" t="s">
        <v>263</v>
      </c>
      <c r="N45" s="4" t="s">
        <v>576</v>
      </c>
    </row>
    <row r="46" ht="15.75" customHeight="1">
      <c r="A46" s="4" t="s">
        <v>50</v>
      </c>
      <c r="B46" s="4" t="s">
        <v>128</v>
      </c>
      <c r="C46" s="4" t="s">
        <v>577</v>
      </c>
      <c r="D46" s="4" t="s">
        <v>578</v>
      </c>
      <c r="E46" s="4" t="s">
        <v>267</v>
      </c>
      <c r="F46" s="4" t="s">
        <v>579</v>
      </c>
      <c r="G46" s="4" t="s">
        <v>580</v>
      </c>
      <c r="H46" s="4" t="s">
        <v>581</v>
      </c>
      <c r="I46" s="4" t="s">
        <v>259</v>
      </c>
      <c r="J46" s="4" t="s">
        <v>260</v>
      </c>
      <c r="K46" s="4" t="s">
        <v>582</v>
      </c>
      <c r="L46" s="4" t="s">
        <v>583</v>
      </c>
      <c r="M46" s="4" t="s">
        <v>263</v>
      </c>
      <c r="N46" s="4" t="s">
        <v>584</v>
      </c>
    </row>
    <row r="47" ht="15.75" customHeight="1">
      <c r="A47" s="4" t="s">
        <v>50</v>
      </c>
      <c r="B47" s="4" t="s">
        <v>128</v>
      </c>
      <c r="C47" s="4" t="s">
        <v>585</v>
      </c>
      <c r="D47" s="4" t="s">
        <v>586</v>
      </c>
      <c r="E47" s="4" t="s">
        <v>267</v>
      </c>
      <c r="F47" s="4" t="s">
        <v>587</v>
      </c>
      <c r="G47" s="4" t="s">
        <v>588</v>
      </c>
      <c r="H47" s="4" t="s">
        <v>589</v>
      </c>
      <c r="I47" s="4" t="s">
        <v>259</v>
      </c>
      <c r="J47" s="4" t="s">
        <v>260</v>
      </c>
      <c r="K47" s="4" t="s">
        <v>590</v>
      </c>
      <c r="L47" s="4" t="s">
        <v>591</v>
      </c>
      <c r="M47" s="4" t="s">
        <v>263</v>
      </c>
      <c r="N47" s="4" t="s">
        <v>576</v>
      </c>
    </row>
    <row r="48" ht="15.75" customHeight="1">
      <c r="A48" s="4" t="s">
        <v>50</v>
      </c>
      <c r="B48" s="4" t="s">
        <v>128</v>
      </c>
      <c r="C48" s="4" t="s">
        <v>592</v>
      </c>
      <c r="D48" s="4" t="s">
        <v>593</v>
      </c>
      <c r="E48" s="4" t="s">
        <v>267</v>
      </c>
      <c r="F48" s="4" t="s">
        <v>594</v>
      </c>
      <c r="G48" s="4" t="s">
        <v>595</v>
      </c>
      <c r="H48" s="4" t="s">
        <v>596</v>
      </c>
      <c r="I48" s="4" t="s">
        <v>259</v>
      </c>
      <c r="J48" s="4" t="s">
        <v>260</v>
      </c>
      <c r="K48" s="4" t="s">
        <v>597</v>
      </c>
      <c r="L48" s="4" t="s">
        <v>598</v>
      </c>
      <c r="M48" s="4" t="s">
        <v>263</v>
      </c>
      <c r="N48" s="4" t="s">
        <v>599</v>
      </c>
    </row>
    <row r="49" ht="15.75" customHeight="1">
      <c r="A49" s="4" t="s">
        <v>50</v>
      </c>
      <c r="B49" s="4" t="s">
        <v>128</v>
      </c>
      <c r="C49" s="4" t="s">
        <v>600</v>
      </c>
      <c r="D49" s="4" t="s">
        <v>601</v>
      </c>
      <c r="E49" s="4" t="s">
        <v>267</v>
      </c>
      <c r="F49" s="4" t="s">
        <v>602</v>
      </c>
      <c r="G49" s="4" t="s">
        <v>603</v>
      </c>
      <c r="H49" s="4" t="s">
        <v>604</v>
      </c>
      <c r="I49" s="4" t="s">
        <v>259</v>
      </c>
      <c r="J49" s="4" t="s">
        <v>260</v>
      </c>
      <c r="K49" s="4" t="s">
        <v>605</v>
      </c>
      <c r="L49" s="4" t="s">
        <v>606</v>
      </c>
      <c r="M49" s="4" t="s">
        <v>263</v>
      </c>
      <c r="N49" s="4" t="s">
        <v>607</v>
      </c>
    </row>
    <row r="50" ht="15.75" customHeight="1">
      <c r="A50" s="4" t="s">
        <v>50</v>
      </c>
      <c r="B50" s="4" t="s">
        <v>128</v>
      </c>
      <c r="C50" s="4" t="s">
        <v>608</v>
      </c>
      <c r="D50" s="4" t="s">
        <v>609</v>
      </c>
      <c r="E50" s="4" t="s">
        <v>267</v>
      </c>
      <c r="F50" s="4" t="s">
        <v>610</v>
      </c>
      <c r="G50" s="4" t="s">
        <v>611</v>
      </c>
      <c r="H50" s="4" t="s">
        <v>612</v>
      </c>
      <c r="I50" s="4" t="s">
        <v>259</v>
      </c>
      <c r="J50" s="4" t="s">
        <v>260</v>
      </c>
      <c r="K50" s="4" t="s">
        <v>613</v>
      </c>
      <c r="L50" s="4" t="s">
        <v>614</v>
      </c>
      <c r="M50" s="4" t="s">
        <v>263</v>
      </c>
      <c r="N50" s="4" t="s">
        <v>615</v>
      </c>
    </row>
    <row r="51" ht="15.75" customHeight="1">
      <c r="A51" s="4" t="s">
        <v>50</v>
      </c>
      <c r="B51" s="4" t="s">
        <v>128</v>
      </c>
      <c r="C51" s="4" t="s">
        <v>616</v>
      </c>
      <c r="D51" s="4" t="s">
        <v>617</v>
      </c>
      <c r="E51" s="4" t="s">
        <v>267</v>
      </c>
      <c r="F51" s="4" t="s">
        <v>618</v>
      </c>
      <c r="G51" s="4" t="s">
        <v>619</v>
      </c>
      <c r="H51" s="4" t="s">
        <v>620</v>
      </c>
      <c r="I51" s="4" t="s">
        <v>259</v>
      </c>
      <c r="J51" s="4" t="s">
        <v>260</v>
      </c>
      <c r="K51" s="4" t="s">
        <v>621</v>
      </c>
      <c r="L51" s="4" t="s">
        <v>622</v>
      </c>
      <c r="M51" s="4" t="s">
        <v>263</v>
      </c>
      <c r="N51" s="4" t="s">
        <v>623</v>
      </c>
    </row>
    <row r="52" ht="15.75" customHeight="1">
      <c r="A52" s="4" t="s">
        <v>50</v>
      </c>
      <c r="B52" s="4" t="s">
        <v>128</v>
      </c>
      <c r="C52" s="4" t="s">
        <v>624</v>
      </c>
      <c r="D52" s="4" t="s">
        <v>625</v>
      </c>
      <c r="E52" s="4" t="s">
        <v>315</v>
      </c>
      <c r="F52" s="4" t="s">
        <v>626</v>
      </c>
      <c r="G52" s="4" t="s">
        <v>627</v>
      </c>
      <c r="H52" s="4" t="s">
        <v>628</v>
      </c>
      <c r="I52" s="4" t="s">
        <v>259</v>
      </c>
      <c r="J52" s="4" t="s">
        <v>260</v>
      </c>
      <c r="K52" s="4" t="s">
        <v>629</v>
      </c>
      <c r="L52" s="4" t="s">
        <v>630</v>
      </c>
      <c r="M52" s="4" t="s">
        <v>263</v>
      </c>
      <c r="N52" s="4" t="s">
        <v>584</v>
      </c>
    </row>
    <row r="53" ht="15.75" customHeight="1">
      <c r="A53" s="4" t="s">
        <v>50</v>
      </c>
      <c r="B53" s="4" t="s">
        <v>139</v>
      </c>
      <c r="C53" s="4" t="s">
        <v>631</v>
      </c>
      <c r="D53" s="4" t="s">
        <v>632</v>
      </c>
      <c r="E53" s="4" t="s">
        <v>255</v>
      </c>
      <c r="F53" s="4" t="s">
        <v>633</v>
      </c>
      <c r="G53" s="4" t="s">
        <v>634</v>
      </c>
      <c r="H53" s="4" t="s">
        <v>635</v>
      </c>
      <c r="I53" s="4" t="s">
        <v>259</v>
      </c>
      <c r="J53" s="4" t="s">
        <v>260</v>
      </c>
      <c r="K53" s="4" t="s">
        <v>636</v>
      </c>
      <c r="L53" s="4" t="s">
        <v>637</v>
      </c>
      <c r="M53" s="4" t="s">
        <v>263</v>
      </c>
      <c r="N53" s="4" t="s">
        <v>638</v>
      </c>
    </row>
    <row r="54" ht="15.75" customHeight="1">
      <c r="A54" s="4" t="s">
        <v>50</v>
      </c>
      <c r="B54" s="4" t="s">
        <v>139</v>
      </c>
      <c r="C54" s="4" t="s">
        <v>639</v>
      </c>
      <c r="D54" s="4" t="s">
        <v>640</v>
      </c>
      <c r="E54" s="4" t="s">
        <v>267</v>
      </c>
      <c r="F54" s="4" t="s">
        <v>641</v>
      </c>
      <c r="G54" s="4" t="s">
        <v>642</v>
      </c>
      <c r="H54" s="4" t="s">
        <v>643</v>
      </c>
      <c r="I54" s="4" t="s">
        <v>259</v>
      </c>
      <c r="J54" s="4" t="s">
        <v>260</v>
      </c>
      <c r="K54" s="4" t="s">
        <v>644</v>
      </c>
      <c r="L54" s="4" t="s">
        <v>645</v>
      </c>
      <c r="M54" s="4" t="s">
        <v>263</v>
      </c>
      <c r="N54" s="4" t="s">
        <v>646</v>
      </c>
    </row>
    <row r="55" ht="15.75" customHeight="1">
      <c r="A55" s="4" t="s">
        <v>50</v>
      </c>
      <c r="B55" s="4" t="s">
        <v>139</v>
      </c>
      <c r="C55" s="4" t="s">
        <v>647</v>
      </c>
      <c r="D55" s="4" t="s">
        <v>648</v>
      </c>
      <c r="E55" s="4" t="s">
        <v>267</v>
      </c>
      <c r="F55" s="4" t="s">
        <v>649</v>
      </c>
      <c r="G55" s="4" t="s">
        <v>650</v>
      </c>
      <c r="H55" s="4" t="s">
        <v>651</v>
      </c>
      <c r="I55" s="4" t="s">
        <v>259</v>
      </c>
      <c r="J55" s="4" t="s">
        <v>260</v>
      </c>
      <c r="K55" s="4" t="s">
        <v>652</v>
      </c>
      <c r="L55" s="4" t="s">
        <v>653</v>
      </c>
      <c r="M55" s="4" t="s">
        <v>263</v>
      </c>
      <c r="N55" s="4" t="s">
        <v>654</v>
      </c>
    </row>
    <row r="56" ht="15.75" customHeight="1">
      <c r="A56" s="4" t="s">
        <v>50</v>
      </c>
      <c r="B56" s="4" t="s">
        <v>139</v>
      </c>
      <c r="C56" s="4" t="s">
        <v>655</v>
      </c>
      <c r="D56" s="4" t="s">
        <v>656</v>
      </c>
      <c r="E56" s="4" t="s">
        <v>267</v>
      </c>
      <c r="F56" s="4" t="s">
        <v>657</v>
      </c>
      <c r="G56" s="4" t="s">
        <v>658</v>
      </c>
      <c r="H56" s="4" t="s">
        <v>659</v>
      </c>
      <c r="I56" s="4" t="s">
        <v>259</v>
      </c>
      <c r="J56" s="4" t="s">
        <v>260</v>
      </c>
      <c r="K56" s="4" t="s">
        <v>660</v>
      </c>
      <c r="L56" s="4" t="s">
        <v>661</v>
      </c>
      <c r="M56" s="4" t="s">
        <v>263</v>
      </c>
      <c r="N56" s="4" t="s">
        <v>662</v>
      </c>
    </row>
    <row r="57" ht="15.75" customHeight="1">
      <c r="A57" s="4" t="s">
        <v>50</v>
      </c>
      <c r="B57" s="4" t="s">
        <v>139</v>
      </c>
      <c r="C57" s="4" t="s">
        <v>663</v>
      </c>
      <c r="D57" s="4" t="s">
        <v>664</v>
      </c>
      <c r="E57" s="4" t="s">
        <v>255</v>
      </c>
      <c r="F57" s="4" t="s">
        <v>665</v>
      </c>
      <c r="G57" s="4" t="s">
        <v>666</v>
      </c>
      <c r="H57" s="4" t="s">
        <v>667</v>
      </c>
      <c r="I57" s="4" t="s">
        <v>259</v>
      </c>
      <c r="J57" s="4" t="s">
        <v>260</v>
      </c>
      <c r="K57" s="4" t="s">
        <v>668</v>
      </c>
      <c r="L57" s="4" t="s">
        <v>669</v>
      </c>
      <c r="M57" s="4" t="s">
        <v>263</v>
      </c>
      <c r="N57" s="4" t="s">
        <v>670</v>
      </c>
    </row>
    <row r="58" ht="15.75" customHeight="1">
      <c r="A58" s="4" t="s">
        <v>50</v>
      </c>
      <c r="B58" s="4" t="s">
        <v>139</v>
      </c>
      <c r="C58" s="4" t="s">
        <v>671</v>
      </c>
      <c r="D58" s="4" t="s">
        <v>672</v>
      </c>
      <c r="E58" s="4" t="s">
        <v>267</v>
      </c>
      <c r="F58" s="4" t="s">
        <v>673</v>
      </c>
      <c r="G58" s="4" t="s">
        <v>674</v>
      </c>
      <c r="H58" s="4" t="s">
        <v>675</v>
      </c>
      <c r="I58" s="4" t="s">
        <v>259</v>
      </c>
      <c r="J58" s="4" t="s">
        <v>260</v>
      </c>
      <c r="K58" s="4" t="s">
        <v>676</v>
      </c>
      <c r="L58" s="4" t="s">
        <v>677</v>
      </c>
      <c r="M58" s="4" t="s">
        <v>263</v>
      </c>
      <c r="N58" s="4" t="s">
        <v>670</v>
      </c>
    </row>
    <row r="59" ht="15.75" customHeight="1">
      <c r="A59" s="4" t="s">
        <v>50</v>
      </c>
      <c r="B59" s="4" t="s">
        <v>139</v>
      </c>
      <c r="C59" s="4" t="s">
        <v>678</v>
      </c>
      <c r="D59" s="4" t="s">
        <v>679</v>
      </c>
      <c r="E59" s="4" t="s">
        <v>267</v>
      </c>
      <c r="F59" s="4" t="s">
        <v>680</v>
      </c>
      <c r="G59" s="4" t="s">
        <v>681</v>
      </c>
      <c r="H59" s="4" t="s">
        <v>682</v>
      </c>
      <c r="I59" s="4" t="s">
        <v>259</v>
      </c>
      <c r="J59" s="4" t="s">
        <v>260</v>
      </c>
      <c r="K59" s="4" t="s">
        <v>683</v>
      </c>
      <c r="L59" s="4" t="s">
        <v>684</v>
      </c>
      <c r="M59" s="4" t="s">
        <v>263</v>
      </c>
      <c r="N59" s="4" t="s">
        <v>685</v>
      </c>
    </row>
    <row r="60" ht="15.75" customHeight="1">
      <c r="A60" s="4" t="s">
        <v>50</v>
      </c>
      <c r="B60" s="4" t="s">
        <v>139</v>
      </c>
      <c r="C60" s="4" t="s">
        <v>686</v>
      </c>
      <c r="D60" s="4" t="s">
        <v>687</v>
      </c>
      <c r="E60" s="4" t="s">
        <v>315</v>
      </c>
      <c r="F60" s="4" t="s">
        <v>688</v>
      </c>
      <c r="G60" s="4" t="s">
        <v>689</v>
      </c>
      <c r="H60" s="4" t="s">
        <v>690</v>
      </c>
      <c r="I60" s="4" t="s">
        <v>259</v>
      </c>
      <c r="J60" s="4" t="s">
        <v>260</v>
      </c>
      <c r="K60" s="4" t="s">
        <v>691</v>
      </c>
      <c r="L60" s="4" t="s">
        <v>692</v>
      </c>
      <c r="M60" s="4" t="s">
        <v>263</v>
      </c>
      <c r="N60" s="4" t="s">
        <v>693</v>
      </c>
    </row>
    <row r="61" ht="15.75" customHeight="1">
      <c r="A61" s="4" t="s">
        <v>53</v>
      </c>
      <c r="B61" s="4" t="s">
        <v>150</v>
      </c>
      <c r="C61" s="4" t="s">
        <v>694</v>
      </c>
      <c r="D61" s="4" t="s">
        <v>695</v>
      </c>
      <c r="E61" s="4" t="s">
        <v>267</v>
      </c>
      <c r="F61" s="4" t="s">
        <v>696</v>
      </c>
      <c r="G61" s="4" t="s">
        <v>697</v>
      </c>
      <c r="H61" s="4" t="s">
        <v>698</v>
      </c>
      <c r="I61" s="4" t="s">
        <v>699</v>
      </c>
      <c r="J61" s="4" t="s">
        <v>260</v>
      </c>
      <c r="K61" s="4" t="s">
        <v>700</v>
      </c>
      <c r="L61" s="4" t="s">
        <v>701</v>
      </c>
      <c r="M61" s="4" t="s">
        <v>263</v>
      </c>
      <c r="N61" s="4" t="s">
        <v>702</v>
      </c>
    </row>
    <row r="62" ht="15.75" customHeight="1">
      <c r="A62" s="4" t="s">
        <v>53</v>
      </c>
      <c r="B62" s="4" t="s">
        <v>150</v>
      </c>
      <c r="C62" s="4" t="s">
        <v>703</v>
      </c>
      <c r="D62" s="4" t="s">
        <v>704</v>
      </c>
      <c r="E62" s="4" t="s">
        <v>267</v>
      </c>
      <c r="F62" s="4" t="s">
        <v>705</v>
      </c>
      <c r="G62" s="4" t="s">
        <v>706</v>
      </c>
      <c r="H62" s="4" t="s">
        <v>707</v>
      </c>
      <c r="I62" s="4" t="s">
        <v>699</v>
      </c>
      <c r="J62" s="4" t="s">
        <v>260</v>
      </c>
      <c r="K62" s="4" t="s">
        <v>708</v>
      </c>
      <c r="L62" s="4" t="s">
        <v>709</v>
      </c>
      <c r="M62" s="4" t="s">
        <v>263</v>
      </c>
      <c r="N62" s="4" t="s">
        <v>710</v>
      </c>
    </row>
    <row r="63" ht="15.75" customHeight="1">
      <c r="A63" s="4" t="s">
        <v>53</v>
      </c>
      <c r="B63" s="4" t="s">
        <v>150</v>
      </c>
      <c r="C63" s="4" t="s">
        <v>711</v>
      </c>
      <c r="D63" s="4" t="s">
        <v>712</v>
      </c>
      <c r="E63" s="4" t="s">
        <v>267</v>
      </c>
      <c r="F63" s="4" t="s">
        <v>713</v>
      </c>
      <c r="G63" s="4" t="s">
        <v>714</v>
      </c>
      <c r="H63" s="4" t="s">
        <v>715</v>
      </c>
      <c r="I63" s="4" t="s">
        <v>699</v>
      </c>
      <c r="J63" s="4" t="s">
        <v>260</v>
      </c>
      <c r="K63" s="4" t="s">
        <v>716</v>
      </c>
      <c r="L63" s="4" t="s">
        <v>717</v>
      </c>
      <c r="M63" s="4" t="s">
        <v>263</v>
      </c>
      <c r="N63" s="4" t="s">
        <v>718</v>
      </c>
    </row>
    <row r="64" ht="15.75" customHeight="1">
      <c r="A64" s="4" t="s">
        <v>53</v>
      </c>
      <c r="B64" s="4" t="s">
        <v>150</v>
      </c>
      <c r="C64" s="4" t="s">
        <v>719</v>
      </c>
      <c r="D64" s="4" t="s">
        <v>720</v>
      </c>
      <c r="E64" s="4" t="s">
        <v>267</v>
      </c>
      <c r="F64" s="4" t="s">
        <v>721</v>
      </c>
      <c r="G64" s="4" t="s">
        <v>722</v>
      </c>
      <c r="H64" s="4" t="s">
        <v>723</v>
      </c>
      <c r="I64" s="4" t="s">
        <v>699</v>
      </c>
      <c r="J64" s="4" t="s">
        <v>260</v>
      </c>
      <c r="K64" s="4" t="s">
        <v>724</v>
      </c>
      <c r="L64" s="4" t="s">
        <v>725</v>
      </c>
      <c r="M64" s="4" t="s">
        <v>263</v>
      </c>
      <c r="N64" s="4" t="s">
        <v>726</v>
      </c>
    </row>
    <row r="65" ht="15.75" customHeight="1">
      <c r="A65" s="4" t="s">
        <v>53</v>
      </c>
      <c r="B65" s="4" t="s">
        <v>150</v>
      </c>
      <c r="C65" s="4" t="s">
        <v>727</v>
      </c>
      <c r="D65" s="4" t="s">
        <v>728</v>
      </c>
      <c r="E65" s="4" t="s">
        <v>267</v>
      </c>
      <c r="F65" s="4" t="s">
        <v>729</v>
      </c>
      <c r="G65" s="4" t="s">
        <v>730</v>
      </c>
      <c r="H65" s="4" t="s">
        <v>731</v>
      </c>
      <c r="I65" s="4" t="s">
        <v>699</v>
      </c>
      <c r="J65" s="4" t="s">
        <v>260</v>
      </c>
      <c r="K65" s="4" t="s">
        <v>732</v>
      </c>
      <c r="L65" s="4" t="s">
        <v>733</v>
      </c>
      <c r="M65" s="4" t="s">
        <v>263</v>
      </c>
      <c r="N65" s="4" t="s">
        <v>734</v>
      </c>
    </row>
    <row r="66" ht="15.75" customHeight="1">
      <c r="A66" s="4" t="s">
        <v>53</v>
      </c>
      <c r="B66" s="4" t="s">
        <v>161</v>
      </c>
      <c r="C66" s="4" t="s">
        <v>735</v>
      </c>
      <c r="D66" s="4" t="s">
        <v>736</v>
      </c>
      <c r="E66" s="4" t="s">
        <v>255</v>
      </c>
      <c r="F66" s="4" t="s">
        <v>737</v>
      </c>
      <c r="G66" s="4" t="s">
        <v>738</v>
      </c>
      <c r="H66" s="4" t="s">
        <v>739</v>
      </c>
      <c r="I66" s="4" t="s">
        <v>699</v>
      </c>
      <c r="J66" s="4" t="s">
        <v>260</v>
      </c>
      <c r="K66" s="4" t="s">
        <v>740</v>
      </c>
      <c r="L66" s="4" t="s">
        <v>741</v>
      </c>
      <c r="M66" s="4" t="s">
        <v>263</v>
      </c>
      <c r="N66" s="4" t="s">
        <v>742</v>
      </c>
    </row>
    <row r="67" ht="15.75" customHeight="1">
      <c r="A67" s="4" t="s">
        <v>53</v>
      </c>
      <c r="B67" s="4" t="s">
        <v>161</v>
      </c>
      <c r="C67" s="4" t="s">
        <v>743</v>
      </c>
      <c r="D67" s="4" t="s">
        <v>744</v>
      </c>
      <c r="E67" s="4" t="s">
        <v>267</v>
      </c>
      <c r="F67" s="4" t="s">
        <v>745</v>
      </c>
      <c r="G67" s="4" t="s">
        <v>746</v>
      </c>
      <c r="H67" s="4" t="s">
        <v>747</v>
      </c>
      <c r="I67" s="4" t="s">
        <v>699</v>
      </c>
      <c r="J67" s="4" t="s">
        <v>260</v>
      </c>
      <c r="K67" s="4" t="s">
        <v>748</v>
      </c>
      <c r="L67" s="4" t="s">
        <v>749</v>
      </c>
      <c r="M67" s="4" t="s">
        <v>263</v>
      </c>
      <c r="N67" s="4" t="s">
        <v>750</v>
      </c>
    </row>
    <row r="68" ht="15.75" customHeight="1">
      <c r="A68" s="4" t="s">
        <v>53</v>
      </c>
      <c r="B68" s="4" t="s">
        <v>161</v>
      </c>
      <c r="C68" s="4" t="s">
        <v>751</v>
      </c>
      <c r="D68" s="4" t="s">
        <v>752</v>
      </c>
      <c r="E68" s="4" t="s">
        <v>267</v>
      </c>
      <c r="F68" s="4" t="s">
        <v>753</v>
      </c>
      <c r="G68" s="4" t="s">
        <v>754</v>
      </c>
      <c r="H68" s="4" t="s">
        <v>755</v>
      </c>
      <c r="I68" s="4" t="s">
        <v>699</v>
      </c>
      <c r="J68" s="4" t="s">
        <v>260</v>
      </c>
      <c r="K68" s="4" t="s">
        <v>756</v>
      </c>
      <c r="L68" s="4" t="s">
        <v>757</v>
      </c>
      <c r="M68" s="4" t="s">
        <v>263</v>
      </c>
      <c r="N68" s="4" t="s">
        <v>758</v>
      </c>
    </row>
    <row r="69" ht="15.75" customHeight="1">
      <c r="A69" s="4" t="s">
        <v>53</v>
      </c>
      <c r="B69" s="4" t="s">
        <v>161</v>
      </c>
      <c r="C69" s="4" t="s">
        <v>759</v>
      </c>
      <c r="D69" s="4" t="s">
        <v>760</v>
      </c>
      <c r="E69" s="4" t="s">
        <v>267</v>
      </c>
      <c r="F69" s="4" t="s">
        <v>761</v>
      </c>
      <c r="G69" s="4" t="s">
        <v>762</v>
      </c>
      <c r="H69" s="4" t="s">
        <v>763</v>
      </c>
      <c r="I69" s="4" t="s">
        <v>699</v>
      </c>
      <c r="J69" s="4" t="s">
        <v>260</v>
      </c>
      <c r="K69" s="4" t="s">
        <v>764</v>
      </c>
      <c r="L69" s="4" t="s">
        <v>765</v>
      </c>
      <c r="M69" s="4" t="s">
        <v>263</v>
      </c>
      <c r="N69" s="4" t="s">
        <v>766</v>
      </c>
    </row>
    <row r="70" ht="15.75" customHeight="1">
      <c r="A70" s="4" t="s">
        <v>53</v>
      </c>
      <c r="B70" s="4" t="s">
        <v>161</v>
      </c>
      <c r="C70" s="4" t="s">
        <v>767</v>
      </c>
      <c r="D70" s="4" t="s">
        <v>768</v>
      </c>
      <c r="E70" s="4" t="s">
        <v>267</v>
      </c>
      <c r="F70" s="4" t="s">
        <v>769</v>
      </c>
      <c r="G70" s="4" t="s">
        <v>770</v>
      </c>
      <c r="H70" s="4" t="s">
        <v>771</v>
      </c>
      <c r="I70" s="4" t="s">
        <v>699</v>
      </c>
      <c r="J70" s="4" t="s">
        <v>260</v>
      </c>
      <c r="K70" s="4" t="s">
        <v>772</v>
      </c>
      <c r="L70" s="4" t="s">
        <v>773</v>
      </c>
      <c r="M70" s="4" t="s">
        <v>263</v>
      </c>
      <c r="N70" s="4" t="s">
        <v>774</v>
      </c>
    </row>
    <row r="71" ht="15.75" customHeight="1">
      <c r="A71" s="4" t="s">
        <v>53</v>
      </c>
      <c r="B71" s="4" t="s">
        <v>172</v>
      </c>
      <c r="C71" s="4" t="s">
        <v>775</v>
      </c>
      <c r="D71" s="4" t="s">
        <v>776</v>
      </c>
      <c r="E71" s="4" t="s">
        <v>255</v>
      </c>
      <c r="F71" s="4" t="s">
        <v>777</v>
      </c>
      <c r="G71" s="4" t="s">
        <v>778</v>
      </c>
      <c r="H71" s="4" t="s">
        <v>779</v>
      </c>
      <c r="I71" s="4" t="s">
        <v>699</v>
      </c>
      <c r="J71" s="4" t="s">
        <v>260</v>
      </c>
      <c r="K71" s="4" t="s">
        <v>780</v>
      </c>
      <c r="L71" s="4" t="s">
        <v>781</v>
      </c>
      <c r="M71" s="4" t="s">
        <v>263</v>
      </c>
      <c r="N71" s="4" t="s">
        <v>782</v>
      </c>
    </row>
    <row r="72" ht="15.75" customHeight="1">
      <c r="A72" s="4" t="s">
        <v>53</v>
      </c>
      <c r="B72" s="4" t="s">
        <v>172</v>
      </c>
      <c r="C72" s="4" t="s">
        <v>783</v>
      </c>
      <c r="D72" s="4" t="s">
        <v>784</v>
      </c>
      <c r="E72" s="4" t="s">
        <v>267</v>
      </c>
      <c r="F72" s="4" t="s">
        <v>785</v>
      </c>
      <c r="G72" s="4" t="s">
        <v>786</v>
      </c>
      <c r="H72" s="4" t="s">
        <v>787</v>
      </c>
      <c r="I72" s="4" t="s">
        <v>699</v>
      </c>
      <c r="J72" s="4" t="s">
        <v>260</v>
      </c>
      <c r="K72" s="4" t="s">
        <v>788</v>
      </c>
      <c r="L72" s="4" t="s">
        <v>789</v>
      </c>
      <c r="M72" s="4" t="s">
        <v>263</v>
      </c>
      <c r="N72" s="4" t="s">
        <v>790</v>
      </c>
    </row>
    <row r="73" ht="15.75" customHeight="1">
      <c r="A73" s="4" t="s">
        <v>53</v>
      </c>
      <c r="B73" s="4" t="s">
        <v>172</v>
      </c>
      <c r="C73" s="4" t="s">
        <v>791</v>
      </c>
      <c r="D73" s="4" t="s">
        <v>792</v>
      </c>
      <c r="E73" s="4" t="s">
        <v>267</v>
      </c>
      <c r="F73" s="4" t="s">
        <v>793</v>
      </c>
      <c r="G73" s="4" t="s">
        <v>794</v>
      </c>
      <c r="H73" s="4" t="s">
        <v>795</v>
      </c>
      <c r="I73" s="4" t="s">
        <v>699</v>
      </c>
      <c r="J73" s="4" t="s">
        <v>260</v>
      </c>
      <c r="K73" s="4" t="s">
        <v>796</v>
      </c>
      <c r="L73" s="4" t="s">
        <v>797</v>
      </c>
      <c r="M73" s="4" t="s">
        <v>263</v>
      </c>
      <c r="N73" s="4" t="s">
        <v>798</v>
      </c>
    </row>
    <row r="74" ht="15.75" customHeight="1">
      <c r="A74" s="4" t="s">
        <v>53</v>
      </c>
      <c r="B74" s="4" t="s">
        <v>172</v>
      </c>
      <c r="C74" s="4" t="s">
        <v>799</v>
      </c>
      <c r="D74" s="4" t="s">
        <v>800</v>
      </c>
      <c r="E74" s="4" t="s">
        <v>267</v>
      </c>
      <c r="F74" s="4" t="s">
        <v>801</v>
      </c>
      <c r="G74" s="4" t="s">
        <v>802</v>
      </c>
      <c r="H74" s="4" t="s">
        <v>803</v>
      </c>
      <c r="I74" s="4" t="s">
        <v>699</v>
      </c>
      <c r="J74" s="4" t="s">
        <v>260</v>
      </c>
      <c r="K74" s="4" t="s">
        <v>804</v>
      </c>
      <c r="L74" s="4" t="s">
        <v>805</v>
      </c>
      <c r="M74" s="4" t="s">
        <v>263</v>
      </c>
      <c r="N74" s="4" t="s">
        <v>806</v>
      </c>
    </row>
    <row r="75" ht="15.75" customHeight="1">
      <c r="A75" s="4" t="s">
        <v>53</v>
      </c>
      <c r="B75" s="4" t="s">
        <v>172</v>
      </c>
      <c r="C75" s="4" t="s">
        <v>807</v>
      </c>
      <c r="D75" s="4" t="s">
        <v>808</v>
      </c>
      <c r="E75" s="4" t="s">
        <v>267</v>
      </c>
      <c r="F75" s="4" t="s">
        <v>809</v>
      </c>
      <c r="G75" s="4" t="s">
        <v>810</v>
      </c>
      <c r="H75" s="4" t="s">
        <v>811</v>
      </c>
      <c r="I75" s="4" t="s">
        <v>699</v>
      </c>
      <c r="J75" s="4" t="s">
        <v>260</v>
      </c>
      <c r="K75" s="4" t="s">
        <v>812</v>
      </c>
      <c r="L75" s="4" t="s">
        <v>813</v>
      </c>
      <c r="M75" s="4" t="s">
        <v>263</v>
      </c>
      <c r="N75" s="4" t="s">
        <v>814</v>
      </c>
    </row>
    <row r="76" ht="15.75" customHeight="1">
      <c r="A76" s="4" t="s">
        <v>53</v>
      </c>
      <c r="B76" s="4" t="s">
        <v>183</v>
      </c>
      <c r="C76" s="4" t="s">
        <v>815</v>
      </c>
      <c r="D76" s="4" t="s">
        <v>816</v>
      </c>
      <c r="E76" s="4" t="s">
        <v>255</v>
      </c>
      <c r="F76" s="4" t="s">
        <v>817</v>
      </c>
      <c r="G76" s="4" t="s">
        <v>818</v>
      </c>
      <c r="H76" s="4" t="s">
        <v>819</v>
      </c>
      <c r="I76" s="4" t="s">
        <v>699</v>
      </c>
      <c r="J76" s="4" t="s">
        <v>260</v>
      </c>
      <c r="K76" s="4" t="s">
        <v>820</v>
      </c>
      <c r="L76" s="4" t="s">
        <v>821</v>
      </c>
      <c r="M76" s="4" t="s">
        <v>263</v>
      </c>
      <c r="N76" s="4" t="s">
        <v>822</v>
      </c>
    </row>
    <row r="77" ht="15.75" customHeight="1">
      <c r="A77" s="4" t="s">
        <v>53</v>
      </c>
      <c r="B77" s="4" t="s">
        <v>183</v>
      </c>
      <c r="C77" s="4" t="s">
        <v>823</v>
      </c>
      <c r="D77" s="4" t="s">
        <v>824</v>
      </c>
      <c r="E77" s="4" t="s">
        <v>267</v>
      </c>
      <c r="F77" s="4" t="s">
        <v>825</v>
      </c>
      <c r="G77" s="4" t="s">
        <v>826</v>
      </c>
      <c r="H77" s="4" t="s">
        <v>827</v>
      </c>
      <c r="I77" s="4" t="s">
        <v>699</v>
      </c>
      <c r="J77" s="4" t="s">
        <v>260</v>
      </c>
      <c r="K77" s="4" t="s">
        <v>828</v>
      </c>
      <c r="L77" s="4" t="s">
        <v>829</v>
      </c>
      <c r="M77" s="4" t="s">
        <v>263</v>
      </c>
      <c r="N77" s="4" t="s">
        <v>830</v>
      </c>
    </row>
    <row r="78" ht="15.75" customHeight="1">
      <c r="A78" s="4" t="s">
        <v>53</v>
      </c>
      <c r="B78" s="4" t="s">
        <v>183</v>
      </c>
      <c r="C78" s="4" t="s">
        <v>831</v>
      </c>
      <c r="D78" s="4" t="s">
        <v>832</v>
      </c>
      <c r="E78" s="4" t="s">
        <v>267</v>
      </c>
      <c r="F78" s="4" t="s">
        <v>833</v>
      </c>
      <c r="G78" s="4" t="s">
        <v>834</v>
      </c>
      <c r="H78" s="4" t="s">
        <v>835</v>
      </c>
      <c r="I78" s="4" t="s">
        <v>699</v>
      </c>
      <c r="J78" s="4" t="s">
        <v>260</v>
      </c>
      <c r="K78" s="4" t="s">
        <v>836</v>
      </c>
      <c r="L78" s="4" t="s">
        <v>837</v>
      </c>
      <c r="M78" s="4" t="s">
        <v>263</v>
      </c>
      <c r="N78" s="4" t="s">
        <v>838</v>
      </c>
    </row>
    <row r="79" ht="15.75" customHeight="1">
      <c r="A79" s="4" t="s">
        <v>53</v>
      </c>
      <c r="B79" s="4" t="s">
        <v>183</v>
      </c>
      <c r="C79" s="4" t="s">
        <v>839</v>
      </c>
      <c r="D79" s="4" t="s">
        <v>840</v>
      </c>
      <c r="E79" s="4" t="s">
        <v>267</v>
      </c>
      <c r="F79" s="4" t="s">
        <v>841</v>
      </c>
      <c r="G79" s="4" t="s">
        <v>842</v>
      </c>
      <c r="H79" s="4" t="s">
        <v>843</v>
      </c>
      <c r="I79" s="4" t="s">
        <v>699</v>
      </c>
      <c r="J79" s="4" t="s">
        <v>260</v>
      </c>
      <c r="K79" s="4" t="s">
        <v>844</v>
      </c>
      <c r="L79" s="4" t="s">
        <v>845</v>
      </c>
      <c r="M79" s="4" t="s">
        <v>263</v>
      </c>
      <c r="N79" s="4" t="s">
        <v>846</v>
      </c>
    </row>
    <row r="80" ht="15.75" customHeight="1">
      <c r="A80" s="4" t="s">
        <v>53</v>
      </c>
      <c r="B80" s="4" t="s">
        <v>183</v>
      </c>
      <c r="C80" s="4" t="s">
        <v>847</v>
      </c>
      <c r="D80" s="4" t="s">
        <v>848</v>
      </c>
      <c r="E80" s="4" t="s">
        <v>267</v>
      </c>
      <c r="F80" s="4" t="s">
        <v>849</v>
      </c>
      <c r="G80" s="4" t="s">
        <v>850</v>
      </c>
      <c r="H80" s="4" t="s">
        <v>851</v>
      </c>
      <c r="I80" s="4" t="s">
        <v>699</v>
      </c>
      <c r="J80" s="4" t="s">
        <v>260</v>
      </c>
      <c r="K80" s="4" t="s">
        <v>852</v>
      </c>
      <c r="L80" s="4" t="s">
        <v>853</v>
      </c>
      <c r="M80" s="4" t="s">
        <v>263</v>
      </c>
      <c r="N80" s="4" t="s">
        <v>838</v>
      </c>
    </row>
    <row r="81" ht="15.75" customHeight="1">
      <c r="A81" s="4" t="s">
        <v>53</v>
      </c>
      <c r="B81" s="4" t="s">
        <v>194</v>
      </c>
      <c r="C81" s="4" t="s">
        <v>854</v>
      </c>
      <c r="D81" s="4" t="s">
        <v>855</v>
      </c>
      <c r="E81" s="4" t="s">
        <v>255</v>
      </c>
      <c r="F81" s="4" t="s">
        <v>856</v>
      </c>
      <c r="G81" s="4" t="s">
        <v>857</v>
      </c>
      <c r="H81" s="4" t="s">
        <v>858</v>
      </c>
      <c r="I81" s="4" t="s">
        <v>699</v>
      </c>
      <c r="J81" s="4" t="s">
        <v>260</v>
      </c>
      <c r="K81" s="4" t="s">
        <v>859</v>
      </c>
      <c r="L81" s="4" t="s">
        <v>860</v>
      </c>
      <c r="M81" s="4" t="s">
        <v>263</v>
      </c>
      <c r="N81" s="4" t="s">
        <v>861</v>
      </c>
    </row>
    <row r="82" ht="15.75" customHeight="1">
      <c r="A82" s="4" t="s">
        <v>53</v>
      </c>
      <c r="B82" s="4" t="s">
        <v>194</v>
      </c>
      <c r="C82" s="4" t="s">
        <v>862</v>
      </c>
      <c r="D82" s="4" t="s">
        <v>863</v>
      </c>
      <c r="E82" s="4" t="s">
        <v>255</v>
      </c>
      <c r="F82" s="4" t="s">
        <v>864</v>
      </c>
      <c r="G82" s="4" t="s">
        <v>865</v>
      </c>
      <c r="H82" s="4" t="s">
        <v>866</v>
      </c>
      <c r="I82" s="4" t="s">
        <v>699</v>
      </c>
      <c r="J82" s="4" t="s">
        <v>260</v>
      </c>
      <c r="K82" s="4" t="s">
        <v>867</v>
      </c>
      <c r="L82" s="4" t="s">
        <v>868</v>
      </c>
      <c r="M82" s="4" t="s">
        <v>263</v>
      </c>
      <c r="N82" s="4" t="s">
        <v>869</v>
      </c>
    </row>
    <row r="83" ht="15.75" customHeight="1">
      <c r="A83" s="4" t="s">
        <v>53</v>
      </c>
      <c r="B83" s="4" t="s">
        <v>194</v>
      </c>
      <c r="C83" s="4" t="s">
        <v>870</v>
      </c>
      <c r="D83" s="4" t="s">
        <v>871</v>
      </c>
      <c r="E83" s="4" t="s">
        <v>267</v>
      </c>
      <c r="F83" s="4" t="s">
        <v>872</v>
      </c>
      <c r="G83" s="4" t="s">
        <v>873</v>
      </c>
      <c r="H83" s="4" t="s">
        <v>874</v>
      </c>
      <c r="I83" s="4" t="s">
        <v>699</v>
      </c>
      <c r="J83" s="4" t="s">
        <v>260</v>
      </c>
      <c r="K83" s="4" t="s">
        <v>875</v>
      </c>
      <c r="L83" s="4" t="s">
        <v>876</v>
      </c>
      <c r="M83" s="4" t="s">
        <v>263</v>
      </c>
      <c r="N83" s="4" t="s">
        <v>877</v>
      </c>
    </row>
    <row r="84" ht="15.75" customHeight="1">
      <c r="A84" s="4" t="s">
        <v>53</v>
      </c>
      <c r="B84" s="4" t="s">
        <v>194</v>
      </c>
      <c r="C84" s="4" t="s">
        <v>878</v>
      </c>
      <c r="D84" s="4" t="s">
        <v>879</v>
      </c>
      <c r="E84" s="4" t="s">
        <v>267</v>
      </c>
      <c r="F84" s="4" t="s">
        <v>880</v>
      </c>
      <c r="G84" s="4" t="s">
        <v>881</v>
      </c>
      <c r="H84" s="4" t="s">
        <v>882</v>
      </c>
      <c r="I84" s="4" t="s">
        <v>699</v>
      </c>
      <c r="J84" s="4" t="s">
        <v>260</v>
      </c>
      <c r="K84" s="4" t="s">
        <v>883</v>
      </c>
      <c r="L84" s="4" t="s">
        <v>884</v>
      </c>
      <c r="M84" s="4" t="s">
        <v>263</v>
      </c>
      <c r="N84" s="4" t="s">
        <v>885</v>
      </c>
    </row>
    <row r="85" ht="15.75" customHeight="1">
      <c r="A85" s="4" t="s">
        <v>53</v>
      </c>
      <c r="B85" s="4" t="s">
        <v>194</v>
      </c>
      <c r="C85" s="4" t="s">
        <v>886</v>
      </c>
      <c r="D85" s="4" t="s">
        <v>887</v>
      </c>
      <c r="E85" s="4" t="s">
        <v>267</v>
      </c>
      <c r="F85" s="4" t="s">
        <v>888</v>
      </c>
      <c r="G85" s="4" t="s">
        <v>889</v>
      </c>
      <c r="H85" s="4" t="s">
        <v>890</v>
      </c>
      <c r="I85" s="4" t="s">
        <v>699</v>
      </c>
      <c r="J85" s="4" t="s">
        <v>260</v>
      </c>
      <c r="K85" s="4" t="s">
        <v>891</v>
      </c>
      <c r="L85" s="4" t="s">
        <v>892</v>
      </c>
      <c r="M85" s="4" t="s">
        <v>263</v>
      </c>
      <c r="N85" s="4" t="s">
        <v>869</v>
      </c>
    </row>
    <row r="86" ht="15.75" customHeight="1">
      <c r="A86" s="4" t="s">
        <v>56</v>
      </c>
      <c r="B86" s="4" t="s">
        <v>205</v>
      </c>
      <c r="C86" s="4" t="s">
        <v>893</v>
      </c>
      <c r="D86" s="4" t="s">
        <v>894</v>
      </c>
      <c r="E86" s="4" t="s">
        <v>267</v>
      </c>
      <c r="F86" s="4" t="s">
        <v>895</v>
      </c>
      <c r="G86" s="4" t="s">
        <v>896</v>
      </c>
      <c r="H86" s="4" t="s">
        <v>897</v>
      </c>
      <c r="I86" s="4" t="s">
        <v>898</v>
      </c>
      <c r="J86" s="4" t="s">
        <v>260</v>
      </c>
      <c r="K86" s="4" t="s">
        <v>899</v>
      </c>
      <c r="L86" s="4" t="s">
        <v>900</v>
      </c>
      <c r="M86" s="4" t="s">
        <v>263</v>
      </c>
      <c r="N86" s="4" t="s">
        <v>901</v>
      </c>
    </row>
    <row r="87" ht="15.75" customHeight="1">
      <c r="A87" s="4" t="s">
        <v>56</v>
      </c>
      <c r="B87" s="4" t="s">
        <v>205</v>
      </c>
      <c r="C87" s="4" t="s">
        <v>902</v>
      </c>
      <c r="D87" s="4" t="s">
        <v>903</v>
      </c>
      <c r="E87" s="4" t="s">
        <v>267</v>
      </c>
      <c r="F87" s="4" t="s">
        <v>904</v>
      </c>
      <c r="G87" s="4" t="s">
        <v>905</v>
      </c>
      <c r="H87" s="4" t="s">
        <v>906</v>
      </c>
      <c r="I87" s="4" t="s">
        <v>898</v>
      </c>
      <c r="J87" s="4" t="s">
        <v>260</v>
      </c>
      <c r="K87" s="4" t="s">
        <v>907</v>
      </c>
      <c r="L87" s="4" t="s">
        <v>908</v>
      </c>
      <c r="M87" s="4" t="s">
        <v>263</v>
      </c>
      <c r="N87" s="4" t="s">
        <v>909</v>
      </c>
    </row>
    <row r="88" ht="15.75" customHeight="1">
      <c r="A88" s="4" t="s">
        <v>56</v>
      </c>
      <c r="B88" s="4" t="s">
        <v>205</v>
      </c>
      <c r="C88" s="4" t="s">
        <v>910</v>
      </c>
      <c r="D88" s="4" t="s">
        <v>911</v>
      </c>
      <c r="E88" s="4" t="s">
        <v>267</v>
      </c>
      <c r="F88" s="4" t="s">
        <v>912</v>
      </c>
      <c r="G88" s="4" t="s">
        <v>913</v>
      </c>
      <c r="H88" s="4" t="s">
        <v>914</v>
      </c>
      <c r="I88" s="4" t="s">
        <v>898</v>
      </c>
      <c r="J88" s="4" t="s">
        <v>260</v>
      </c>
      <c r="K88" s="4" t="s">
        <v>915</v>
      </c>
      <c r="L88" s="4" t="s">
        <v>916</v>
      </c>
      <c r="M88" s="4" t="s">
        <v>263</v>
      </c>
      <c r="N88" s="4" t="s">
        <v>917</v>
      </c>
    </row>
    <row r="89" ht="15.75" customHeight="1">
      <c r="A89" s="4" t="s">
        <v>56</v>
      </c>
      <c r="B89" s="4" t="s">
        <v>216</v>
      </c>
      <c r="C89" s="4" t="s">
        <v>918</v>
      </c>
      <c r="D89" s="4" t="s">
        <v>919</v>
      </c>
      <c r="E89" s="4" t="s">
        <v>267</v>
      </c>
      <c r="F89" s="4" t="s">
        <v>920</v>
      </c>
      <c r="G89" s="4" t="s">
        <v>921</v>
      </c>
      <c r="H89" s="4" t="s">
        <v>922</v>
      </c>
      <c r="I89" s="4" t="s">
        <v>898</v>
      </c>
      <c r="J89" s="4" t="s">
        <v>260</v>
      </c>
      <c r="K89" s="4" t="s">
        <v>923</v>
      </c>
      <c r="L89" s="4" t="s">
        <v>924</v>
      </c>
      <c r="M89" s="4" t="s">
        <v>263</v>
      </c>
      <c r="N89" s="4" t="s">
        <v>925</v>
      </c>
    </row>
    <row r="90" ht="15.75" customHeight="1">
      <c r="A90" s="4" t="s">
        <v>56</v>
      </c>
      <c r="B90" s="4" t="s">
        <v>216</v>
      </c>
      <c r="C90" s="4" t="s">
        <v>926</v>
      </c>
      <c r="D90" s="4" t="s">
        <v>927</v>
      </c>
      <c r="E90" s="4" t="s">
        <v>267</v>
      </c>
      <c r="F90" s="4" t="s">
        <v>928</v>
      </c>
      <c r="G90" s="4" t="s">
        <v>929</v>
      </c>
      <c r="H90" s="4" t="s">
        <v>930</v>
      </c>
      <c r="I90" s="4" t="s">
        <v>898</v>
      </c>
      <c r="J90" s="4" t="s">
        <v>260</v>
      </c>
      <c r="K90" s="4" t="s">
        <v>931</v>
      </c>
      <c r="L90" s="4" t="s">
        <v>932</v>
      </c>
      <c r="M90" s="4" t="s">
        <v>263</v>
      </c>
      <c r="N90" s="4" t="s">
        <v>933</v>
      </c>
    </row>
    <row r="91" ht="15.75" customHeight="1">
      <c r="A91" s="4" t="s">
        <v>56</v>
      </c>
      <c r="B91" s="4" t="s">
        <v>216</v>
      </c>
      <c r="C91" s="4" t="s">
        <v>934</v>
      </c>
      <c r="D91" s="4" t="s">
        <v>935</v>
      </c>
      <c r="E91" s="4" t="s">
        <v>267</v>
      </c>
      <c r="F91" s="4" t="s">
        <v>936</v>
      </c>
      <c r="G91" s="4" t="s">
        <v>937</v>
      </c>
      <c r="H91" s="4" t="s">
        <v>938</v>
      </c>
      <c r="I91" s="4" t="s">
        <v>898</v>
      </c>
      <c r="J91" s="4" t="s">
        <v>260</v>
      </c>
      <c r="K91" s="4" t="s">
        <v>939</v>
      </c>
      <c r="L91" s="4" t="s">
        <v>940</v>
      </c>
      <c r="M91" s="4" t="s">
        <v>263</v>
      </c>
      <c r="N91" s="4" t="s">
        <v>941</v>
      </c>
    </row>
    <row r="92" ht="15.75" customHeight="1">
      <c r="A92" s="4" t="s">
        <v>56</v>
      </c>
      <c r="B92" s="4" t="s">
        <v>227</v>
      </c>
      <c r="C92" s="4" t="s">
        <v>942</v>
      </c>
      <c r="D92" s="4" t="s">
        <v>943</v>
      </c>
      <c r="E92" s="4" t="s">
        <v>255</v>
      </c>
      <c r="F92" s="4" t="s">
        <v>944</v>
      </c>
      <c r="G92" s="4" t="s">
        <v>945</v>
      </c>
      <c r="H92" s="4" t="s">
        <v>946</v>
      </c>
      <c r="I92" s="4" t="s">
        <v>898</v>
      </c>
      <c r="J92" s="4" t="s">
        <v>260</v>
      </c>
      <c r="K92" s="4" t="s">
        <v>947</v>
      </c>
      <c r="L92" s="4" t="s">
        <v>948</v>
      </c>
      <c r="M92" s="4" t="s">
        <v>263</v>
      </c>
      <c r="N92" s="4" t="s">
        <v>949</v>
      </c>
    </row>
    <row r="93" ht="15.75" customHeight="1">
      <c r="A93" s="4" t="s">
        <v>56</v>
      </c>
      <c r="B93" s="4" t="s">
        <v>227</v>
      </c>
      <c r="C93" s="4" t="s">
        <v>950</v>
      </c>
      <c r="D93" s="4" t="s">
        <v>951</v>
      </c>
      <c r="E93" s="4" t="s">
        <v>267</v>
      </c>
      <c r="F93" s="4" t="s">
        <v>952</v>
      </c>
      <c r="G93" s="4" t="s">
        <v>953</v>
      </c>
      <c r="H93" s="4" t="s">
        <v>954</v>
      </c>
      <c r="I93" s="4" t="s">
        <v>898</v>
      </c>
      <c r="J93" s="4" t="s">
        <v>260</v>
      </c>
      <c r="K93" s="4" t="s">
        <v>955</v>
      </c>
      <c r="L93" s="4" t="s">
        <v>956</v>
      </c>
      <c r="M93" s="4" t="s">
        <v>263</v>
      </c>
      <c r="N93" s="4" t="s">
        <v>957</v>
      </c>
    </row>
    <row r="94" ht="15.75" customHeight="1">
      <c r="A94" s="4" t="s">
        <v>56</v>
      </c>
      <c r="B94" s="4" t="s">
        <v>227</v>
      </c>
      <c r="C94" s="4" t="s">
        <v>958</v>
      </c>
      <c r="D94" s="4" t="s">
        <v>959</v>
      </c>
      <c r="E94" s="4" t="s">
        <v>267</v>
      </c>
      <c r="F94" s="4" t="s">
        <v>960</v>
      </c>
      <c r="G94" s="4" t="s">
        <v>961</v>
      </c>
      <c r="H94" s="4" t="s">
        <v>962</v>
      </c>
      <c r="I94" s="4" t="s">
        <v>898</v>
      </c>
      <c r="J94" s="4" t="s">
        <v>260</v>
      </c>
      <c r="K94" s="4" t="s">
        <v>963</v>
      </c>
      <c r="L94" s="4" t="s">
        <v>964</v>
      </c>
      <c r="M94" s="4" t="s">
        <v>263</v>
      </c>
      <c r="N94" s="4" t="s">
        <v>949</v>
      </c>
    </row>
    <row r="95" ht="15.75" customHeight="1">
      <c r="E95" s="7"/>
      <c r="I95" s="7"/>
      <c r="J95" s="7"/>
    </row>
    <row r="96" ht="15.75" customHeight="1">
      <c r="E96" s="7"/>
      <c r="I96" s="7"/>
      <c r="J96" s="7"/>
    </row>
    <row r="97" ht="15.75" customHeight="1">
      <c r="E97" s="7"/>
      <c r="I97" s="7"/>
      <c r="J97" s="7"/>
    </row>
    <row r="98" ht="15.75" customHeight="1">
      <c r="E98" s="7"/>
      <c r="I98" s="7"/>
      <c r="J98" s="7"/>
    </row>
    <row r="99" ht="15.75" customHeight="1">
      <c r="E99" s="7"/>
      <c r="I99" s="7"/>
      <c r="J99" s="7"/>
    </row>
    <row r="100" ht="15.75" customHeight="1">
      <c r="E100" s="7"/>
      <c r="I100" s="7"/>
      <c r="J100" s="7"/>
    </row>
    <row r="101" ht="15.75" customHeight="1">
      <c r="E101" s="7"/>
      <c r="I101" s="7"/>
      <c r="J101" s="7"/>
    </row>
    <row r="102" ht="15.75" customHeight="1">
      <c r="E102" s="7"/>
      <c r="I102" s="7"/>
      <c r="J102" s="7"/>
    </row>
    <row r="103" ht="15.75" customHeight="1">
      <c r="E103" s="7"/>
      <c r="I103" s="7"/>
      <c r="J103" s="7"/>
    </row>
    <row r="104" ht="15.75" customHeight="1">
      <c r="E104" s="7"/>
      <c r="I104" s="7"/>
      <c r="J104" s="7"/>
    </row>
    <row r="105" ht="15.75" customHeight="1">
      <c r="E105" s="7"/>
      <c r="I105" s="7"/>
      <c r="J105" s="7"/>
    </row>
    <row r="106" ht="15.75" customHeight="1">
      <c r="E106" s="7"/>
      <c r="I106" s="7"/>
      <c r="J106" s="7"/>
    </row>
    <row r="107" ht="15.75" customHeight="1">
      <c r="E107" s="7"/>
      <c r="I107" s="7"/>
      <c r="J107" s="7"/>
    </row>
    <row r="108" ht="15.75" customHeight="1">
      <c r="E108" s="7"/>
      <c r="I108" s="7"/>
      <c r="J108" s="7"/>
    </row>
    <row r="109" ht="15.75" customHeight="1">
      <c r="E109" s="7"/>
      <c r="I109" s="7"/>
      <c r="J109" s="7"/>
    </row>
    <row r="110" ht="15.75" customHeight="1">
      <c r="E110" s="7"/>
      <c r="I110" s="7"/>
      <c r="J110" s="7"/>
    </row>
    <row r="111" ht="15.75" customHeight="1">
      <c r="E111" s="7"/>
      <c r="I111" s="7"/>
      <c r="J111" s="7"/>
    </row>
    <row r="112" ht="15.75" customHeight="1">
      <c r="E112" s="7"/>
      <c r="I112" s="7"/>
      <c r="J112" s="7"/>
    </row>
    <row r="113" ht="15.75" customHeight="1">
      <c r="E113" s="7"/>
      <c r="I113" s="7"/>
      <c r="J113" s="7"/>
    </row>
    <row r="114" ht="15.75" customHeight="1">
      <c r="E114" s="7"/>
      <c r="I114" s="7"/>
      <c r="J114" s="7"/>
    </row>
    <row r="115" ht="15.75" customHeight="1">
      <c r="E115" s="7"/>
      <c r="I115" s="7"/>
      <c r="J115" s="7"/>
    </row>
    <row r="116" ht="15.75" customHeight="1">
      <c r="E116" s="7"/>
      <c r="I116" s="7"/>
      <c r="J116" s="7"/>
    </row>
    <row r="117" ht="15.75" customHeight="1">
      <c r="E117" s="7"/>
      <c r="I117" s="7"/>
      <c r="J117" s="7"/>
    </row>
    <row r="118" ht="15.75" customHeight="1">
      <c r="E118" s="7"/>
      <c r="I118" s="7"/>
      <c r="J118" s="7"/>
    </row>
    <row r="119" ht="15.75" customHeight="1">
      <c r="E119" s="7"/>
      <c r="I119" s="7"/>
      <c r="J119" s="7"/>
    </row>
    <row r="120" ht="15.75" customHeight="1">
      <c r="E120" s="7"/>
      <c r="I120" s="7"/>
      <c r="J120" s="7"/>
    </row>
    <row r="121" ht="15.75" customHeight="1">
      <c r="E121" s="7"/>
      <c r="I121" s="7"/>
      <c r="J121" s="7"/>
    </row>
    <row r="122" ht="15.75" customHeight="1">
      <c r="E122" s="7"/>
      <c r="I122" s="7"/>
      <c r="J122" s="7"/>
    </row>
    <row r="123" ht="15.75" customHeight="1">
      <c r="E123" s="7"/>
      <c r="I123" s="7"/>
      <c r="J123" s="7"/>
    </row>
    <row r="124" ht="15.75" customHeight="1">
      <c r="E124" s="7"/>
      <c r="I124" s="7"/>
      <c r="J124" s="7"/>
    </row>
    <row r="125" ht="15.75" customHeight="1">
      <c r="E125" s="7"/>
      <c r="I125" s="7"/>
      <c r="J125" s="7"/>
    </row>
    <row r="126" ht="15.75" customHeight="1">
      <c r="E126" s="7"/>
      <c r="I126" s="7"/>
      <c r="J126" s="7"/>
    </row>
    <row r="127" ht="15.75" customHeight="1">
      <c r="E127" s="7"/>
      <c r="I127" s="7"/>
      <c r="J127" s="7"/>
    </row>
    <row r="128" ht="15.75" customHeight="1">
      <c r="E128" s="7"/>
      <c r="I128" s="7"/>
      <c r="J128" s="7"/>
    </row>
    <row r="129" ht="15.75" customHeight="1">
      <c r="E129" s="7"/>
      <c r="I129" s="7"/>
      <c r="J129" s="7"/>
    </row>
    <row r="130" ht="15.75" customHeight="1">
      <c r="E130" s="7"/>
      <c r="I130" s="7"/>
      <c r="J130" s="7"/>
    </row>
    <row r="131" ht="15.75" customHeight="1">
      <c r="E131" s="7"/>
      <c r="I131" s="7"/>
      <c r="J131" s="7"/>
    </row>
    <row r="132" ht="15.75" customHeight="1">
      <c r="E132" s="7"/>
      <c r="I132" s="7"/>
      <c r="J132" s="7"/>
    </row>
    <row r="133" ht="15.75" customHeight="1">
      <c r="E133" s="7"/>
      <c r="I133" s="7"/>
      <c r="J133" s="7"/>
    </row>
    <row r="134" ht="15.75" customHeight="1">
      <c r="E134" s="7"/>
      <c r="I134" s="7"/>
      <c r="J134" s="7"/>
    </row>
    <row r="135" ht="15.75" customHeight="1">
      <c r="E135" s="7"/>
      <c r="I135" s="7"/>
      <c r="J135" s="7"/>
    </row>
    <row r="136" ht="15.75" customHeight="1">
      <c r="E136" s="7"/>
      <c r="I136" s="7"/>
      <c r="J136" s="7"/>
    </row>
    <row r="137" ht="15.75" customHeight="1">
      <c r="E137" s="7"/>
      <c r="I137" s="7"/>
      <c r="J137" s="7"/>
    </row>
    <row r="138" ht="15.75" customHeight="1">
      <c r="E138" s="7"/>
      <c r="I138" s="7"/>
      <c r="J138" s="7"/>
    </row>
    <row r="139" ht="15.75" customHeight="1">
      <c r="E139" s="7"/>
      <c r="I139" s="7"/>
      <c r="J139" s="7"/>
    </row>
    <row r="140" ht="15.75" customHeight="1">
      <c r="E140" s="7"/>
      <c r="I140" s="7"/>
      <c r="J140" s="7"/>
    </row>
    <row r="141" ht="15.75" customHeight="1">
      <c r="E141" s="7"/>
      <c r="I141" s="7"/>
      <c r="J141" s="7"/>
    </row>
    <row r="142" ht="15.75" customHeight="1">
      <c r="E142" s="7"/>
      <c r="I142" s="7"/>
      <c r="J142" s="7"/>
    </row>
    <row r="143" ht="15.75" customHeight="1">
      <c r="E143" s="7"/>
      <c r="I143" s="7"/>
      <c r="J143" s="7"/>
    </row>
    <row r="144" ht="15.75" customHeight="1">
      <c r="E144" s="7"/>
      <c r="I144" s="7"/>
      <c r="J144" s="7"/>
    </row>
    <row r="145" ht="15.75" customHeight="1">
      <c r="E145" s="7"/>
      <c r="I145" s="7"/>
      <c r="J145" s="7"/>
    </row>
    <row r="146" ht="15.75" customHeight="1">
      <c r="E146" s="7"/>
      <c r="I146" s="7"/>
      <c r="J146" s="7"/>
    </row>
    <row r="147" ht="15.75" customHeight="1">
      <c r="E147" s="7"/>
      <c r="I147" s="7"/>
      <c r="J147" s="7"/>
    </row>
    <row r="148" ht="15.75" customHeight="1">
      <c r="E148" s="7"/>
      <c r="I148" s="7"/>
      <c r="J148" s="7"/>
    </row>
    <row r="149" ht="15.75" customHeight="1">
      <c r="E149" s="7"/>
      <c r="I149" s="7"/>
      <c r="J149" s="7"/>
    </row>
    <row r="150" ht="15.75" customHeight="1">
      <c r="E150" s="7"/>
      <c r="I150" s="7"/>
      <c r="J150" s="7"/>
    </row>
    <row r="151" ht="15.75" customHeight="1">
      <c r="E151" s="7"/>
      <c r="I151" s="7"/>
      <c r="J151" s="7"/>
    </row>
    <row r="152" ht="15.75" customHeight="1">
      <c r="E152" s="7"/>
      <c r="I152" s="7"/>
      <c r="J152" s="7"/>
    </row>
    <row r="153" ht="15.75" customHeight="1">
      <c r="E153" s="7"/>
      <c r="I153" s="7"/>
      <c r="J153" s="7"/>
    </row>
    <row r="154" ht="15.75" customHeight="1">
      <c r="E154" s="7"/>
      <c r="I154" s="7"/>
      <c r="J154" s="7"/>
    </row>
    <row r="155" ht="15.75" customHeight="1">
      <c r="E155" s="7"/>
      <c r="I155" s="7"/>
      <c r="J155" s="7"/>
    </row>
    <row r="156" ht="15.75" customHeight="1">
      <c r="E156" s="7"/>
      <c r="I156" s="7"/>
      <c r="J156" s="7"/>
    </row>
    <row r="157" ht="15.75" customHeight="1">
      <c r="E157" s="7"/>
      <c r="I157" s="7"/>
      <c r="J157" s="7"/>
    </row>
    <row r="158" ht="15.75" customHeight="1">
      <c r="E158" s="7"/>
      <c r="I158" s="7"/>
      <c r="J158" s="7"/>
    </row>
    <row r="159" ht="15.75" customHeight="1">
      <c r="E159" s="7"/>
      <c r="I159" s="7"/>
      <c r="J159" s="7"/>
    </row>
    <row r="160" ht="15.75" customHeight="1">
      <c r="E160" s="7"/>
      <c r="I160" s="7"/>
      <c r="J160" s="7"/>
    </row>
    <row r="161" ht="15.75" customHeight="1">
      <c r="E161" s="7"/>
      <c r="I161" s="7"/>
      <c r="J161" s="7"/>
    </row>
    <row r="162" ht="15.75" customHeight="1">
      <c r="E162" s="7"/>
      <c r="I162" s="7"/>
      <c r="J162" s="7"/>
    </row>
    <row r="163" ht="15.75" customHeight="1">
      <c r="E163" s="7"/>
      <c r="I163" s="7"/>
      <c r="J163" s="7"/>
    </row>
    <row r="164" ht="15.75" customHeight="1">
      <c r="E164" s="7"/>
      <c r="I164" s="7"/>
      <c r="J164" s="7"/>
    </row>
    <row r="165" ht="15.75" customHeight="1">
      <c r="E165" s="7"/>
      <c r="I165" s="7"/>
      <c r="J165" s="7"/>
    </row>
    <row r="166" ht="15.75" customHeight="1">
      <c r="E166" s="7"/>
      <c r="I166" s="7"/>
      <c r="J166" s="7"/>
    </row>
    <row r="167" ht="15.75" customHeight="1">
      <c r="E167" s="7"/>
      <c r="I167" s="7"/>
      <c r="J167" s="7"/>
    </row>
    <row r="168" ht="15.75" customHeight="1">
      <c r="E168" s="7"/>
      <c r="I168" s="7"/>
      <c r="J168" s="7"/>
    </row>
    <row r="169" ht="15.75" customHeight="1">
      <c r="E169" s="7"/>
      <c r="I169" s="7"/>
      <c r="J169" s="7"/>
    </row>
    <row r="170" ht="15.75" customHeight="1">
      <c r="E170" s="7"/>
      <c r="I170" s="7"/>
      <c r="J170" s="7"/>
    </row>
    <row r="171" ht="15.75" customHeight="1">
      <c r="E171" s="7"/>
      <c r="I171" s="7"/>
      <c r="J171" s="7"/>
    </row>
    <row r="172" ht="15.75" customHeight="1">
      <c r="E172" s="7"/>
      <c r="I172" s="7"/>
      <c r="J172" s="7"/>
    </row>
    <row r="173" ht="15.75" customHeight="1">
      <c r="E173" s="7"/>
      <c r="I173" s="7"/>
      <c r="J173" s="7"/>
    </row>
    <row r="174" ht="15.75" customHeight="1">
      <c r="E174" s="7"/>
      <c r="I174" s="7"/>
      <c r="J174" s="7"/>
    </row>
    <row r="175" ht="15.75" customHeight="1">
      <c r="E175" s="7"/>
      <c r="I175" s="7"/>
      <c r="J175" s="7"/>
    </row>
    <row r="176" ht="15.75" customHeight="1">
      <c r="E176" s="7"/>
      <c r="I176" s="7"/>
      <c r="J176" s="7"/>
    </row>
    <row r="177" ht="15.75" customHeight="1">
      <c r="E177" s="7"/>
      <c r="I177" s="7"/>
      <c r="J177" s="7"/>
    </row>
    <row r="178" ht="15.75" customHeight="1">
      <c r="E178" s="7"/>
      <c r="I178" s="7"/>
      <c r="J178" s="7"/>
    </row>
    <row r="179" ht="15.75" customHeight="1">
      <c r="E179" s="7"/>
      <c r="I179" s="7"/>
      <c r="J179" s="7"/>
    </row>
    <row r="180" ht="15.75" customHeight="1">
      <c r="E180" s="7"/>
      <c r="I180" s="7"/>
      <c r="J180" s="7"/>
    </row>
    <row r="181" ht="15.75" customHeight="1">
      <c r="E181" s="7"/>
      <c r="I181" s="7"/>
      <c r="J181" s="7"/>
    </row>
    <row r="182" ht="15.75" customHeight="1">
      <c r="E182" s="7"/>
      <c r="I182" s="7"/>
      <c r="J182" s="7"/>
    </row>
    <row r="183" ht="15.75" customHeight="1">
      <c r="E183" s="7"/>
      <c r="I183" s="7"/>
      <c r="J183" s="7"/>
    </row>
    <row r="184" ht="15.75" customHeight="1">
      <c r="E184" s="7"/>
      <c r="I184" s="7"/>
      <c r="J184" s="7"/>
    </row>
    <row r="185" ht="15.75" customHeight="1">
      <c r="E185" s="7"/>
      <c r="I185" s="7"/>
      <c r="J185" s="7"/>
    </row>
    <row r="186" ht="15.75" customHeight="1">
      <c r="E186" s="7"/>
      <c r="I186" s="7"/>
      <c r="J186" s="7"/>
    </row>
    <row r="187" ht="15.75" customHeight="1">
      <c r="E187" s="7"/>
      <c r="I187" s="7"/>
      <c r="J187" s="7"/>
    </row>
    <row r="188" ht="15.75" customHeight="1">
      <c r="E188" s="7"/>
      <c r="I188" s="7"/>
      <c r="J188" s="7"/>
    </row>
    <row r="189" ht="15.75" customHeight="1">
      <c r="E189" s="7"/>
      <c r="I189" s="7"/>
      <c r="J189" s="7"/>
    </row>
    <row r="190" ht="15.75" customHeight="1">
      <c r="E190" s="7"/>
      <c r="I190" s="7"/>
      <c r="J190" s="7"/>
    </row>
    <row r="191" ht="15.75" customHeight="1">
      <c r="E191" s="7"/>
      <c r="I191" s="7"/>
      <c r="J191" s="7"/>
    </row>
    <row r="192" ht="15.75" customHeight="1">
      <c r="E192" s="7"/>
      <c r="I192" s="7"/>
      <c r="J192" s="7"/>
    </row>
    <row r="193" ht="15.75" customHeight="1">
      <c r="E193" s="7"/>
      <c r="I193" s="7"/>
      <c r="J193" s="7"/>
    </row>
    <row r="194" ht="15.75" customHeight="1">
      <c r="E194" s="7"/>
      <c r="I194" s="7"/>
      <c r="J194" s="7"/>
    </row>
    <row r="195" ht="15.75" customHeight="1">
      <c r="E195" s="7"/>
      <c r="I195" s="7"/>
      <c r="J195" s="7"/>
    </row>
    <row r="196" ht="15.75" customHeight="1">
      <c r="E196" s="7"/>
      <c r="I196" s="7"/>
      <c r="J196" s="7"/>
    </row>
    <row r="197" ht="15.75" customHeight="1">
      <c r="E197" s="7"/>
      <c r="I197" s="7"/>
      <c r="J197" s="7"/>
    </row>
    <row r="198" ht="15.75" customHeight="1">
      <c r="E198" s="7"/>
      <c r="I198" s="7"/>
      <c r="J198" s="7"/>
    </row>
    <row r="199" ht="15.75" customHeight="1">
      <c r="E199" s="7"/>
      <c r="I199" s="7"/>
      <c r="J199" s="7"/>
    </row>
    <row r="200" ht="15.75" customHeight="1">
      <c r="E200" s="7"/>
      <c r="I200" s="7"/>
      <c r="J200" s="7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N1"/>
    <mergeCell ref="A2:N2"/>
  </mergeCells>
  <conditionalFormatting sqref="I5:I1000">
    <cfRule type="expression" dxfId="7" priority="1">
      <formula>I5="High"</formula>
    </cfRule>
  </conditionalFormatting>
  <conditionalFormatting sqref="I5:I1000">
    <cfRule type="expression" dxfId="8" priority="2">
      <formula>I5="Medium"</formula>
    </cfRule>
  </conditionalFormatting>
  <conditionalFormatting sqref="I5:I1000">
    <cfRule type="expression" dxfId="9" priority="3">
      <formula>I5="Low"</formula>
    </cfRule>
  </conditionalFormatting>
  <conditionalFormatting sqref="J5:J1000">
    <cfRule type="expression" dxfId="10" priority="4">
      <formula>J5="Built"</formula>
    </cfRule>
  </conditionalFormatting>
  <dataValidations>
    <dataValidation type="list" allowBlank="1" sqref="E5:E200">
      <formula1>"Explainer,Issue Brief,Listening Page,Bill Tracker,FAQ,Hub Page"</formula1>
    </dataValidation>
    <dataValidation type="list" allowBlank="1" sqref="J5:J200">
      <formula1>"Not Started,Drafting,In Review,Ready to Build,Built,Needs Update"</formula1>
    </dataValidation>
    <dataValidation type="list" allowBlank="1" sqref="I5:I200">
      <formula1>"High,Medium,Low"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30.0"/>
    <col customWidth="1" min="3" max="3" width="40.0"/>
    <col customWidth="1" min="4" max="4" width="70.0"/>
    <col customWidth="1" min="5" max="5" width="55.0"/>
    <col customWidth="1" min="6" max="26" width="8.63"/>
  </cols>
  <sheetData>
    <row r="1" ht="18.75" customHeight="1">
      <c r="A1" s="1" t="s">
        <v>965</v>
      </c>
    </row>
    <row r="2" ht="31.5" customHeight="1">
      <c r="A2" s="2" t="s">
        <v>966</v>
      </c>
    </row>
    <row r="4" ht="30.0" customHeight="1">
      <c r="A4" s="3" t="s">
        <v>967</v>
      </c>
      <c r="B4" s="3" t="s">
        <v>968</v>
      </c>
      <c r="C4" s="3" t="s">
        <v>969</v>
      </c>
      <c r="D4" s="3" t="s">
        <v>970</v>
      </c>
      <c r="E4" s="3" t="s">
        <v>971</v>
      </c>
    </row>
    <row r="5">
      <c r="A5" s="4">
        <v>1.0</v>
      </c>
      <c r="B5" s="4" t="s">
        <v>972</v>
      </c>
      <c r="C5" s="4" t="s">
        <v>973</v>
      </c>
      <c r="D5" s="4" t="s">
        <v>974</v>
      </c>
      <c r="E5" s="4" t="s">
        <v>975</v>
      </c>
    </row>
    <row r="6">
      <c r="A6" s="4">
        <v>2.0</v>
      </c>
      <c r="B6" s="4" t="s">
        <v>976</v>
      </c>
      <c r="C6" s="4" t="s">
        <v>977</v>
      </c>
      <c r="D6" s="4" t="s">
        <v>978</v>
      </c>
      <c r="E6" s="4" t="s">
        <v>979</v>
      </c>
    </row>
    <row r="7">
      <c r="A7" s="4">
        <v>3.0</v>
      </c>
      <c r="B7" s="4" t="s">
        <v>980</v>
      </c>
      <c r="C7" s="4" t="s">
        <v>981</v>
      </c>
      <c r="D7" s="4" t="s">
        <v>982</v>
      </c>
      <c r="E7" s="4" t="s">
        <v>983</v>
      </c>
    </row>
    <row r="8">
      <c r="A8" s="4">
        <v>4.0</v>
      </c>
      <c r="B8" s="4" t="s">
        <v>984</v>
      </c>
      <c r="C8" s="4" t="s">
        <v>985</v>
      </c>
      <c r="D8" s="4" t="s">
        <v>986</v>
      </c>
      <c r="E8" s="4" t="s">
        <v>987</v>
      </c>
    </row>
    <row r="9">
      <c r="A9" s="4">
        <v>5.0</v>
      </c>
      <c r="B9" s="4" t="s">
        <v>69</v>
      </c>
      <c r="C9" s="4" t="s">
        <v>988</v>
      </c>
      <c r="D9" s="4" t="s">
        <v>989</v>
      </c>
      <c r="E9" s="4" t="s">
        <v>990</v>
      </c>
    </row>
    <row r="10">
      <c r="A10" s="4">
        <v>6.0</v>
      </c>
      <c r="B10" s="4" t="s">
        <v>991</v>
      </c>
      <c r="C10" s="4" t="s">
        <v>992</v>
      </c>
      <c r="D10" s="4" t="s">
        <v>993</v>
      </c>
      <c r="E10" s="4" t="s">
        <v>994</v>
      </c>
    </row>
    <row r="11">
      <c r="A11" s="4">
        <v>7.0</v>
      </c>
      <c r="B11" s="4" t="s">
        <v>995</v>
      </c>
      <c r="C11" s="4" t="s">
        <v>996</v>
      </c>
      <c r="D11" s="4" t="s">
        <v>997</v>
      </c>
      <c r="E11" s="4" t="s">
        <v>998</v>
      </c>
    </row>
    <row r="12">
      <c r="A12" s="4">
        <v>8.0</v>
      </c>
      <c r="B12" s="4" t="s">
        <v>999</v>
      </c>
      <c r="C12" s="4" t="s">
        <v>1000</v>
      </c>
      <c r="D12" s="4" t="s">
        <v>1001</v>
      </c>
      <c r="E12" s="4" t="s">
        <v>1002</v>
      </c>
    </row>
    <row r="13">
      <c r="A13" s="4">
        <v>9.0</v>
      </c>
      <c r="B13" s="4" t="s">
        <v>1003</v>
      </c>
      <c r="C13" s="4" t="s">
        <v>1004</v>
      </c>
      <c r="D13" s="4" t="s">
        <v>1005</v>
      </c>
      <c r="E13" s="4" t="s">
        <v>1006</v>
      </c>
    </row>
    <row r="14">
      <c r="A14" s="4">
        <v>10.0</v>
      </c>
      <c r="B14" s="4" t="s">
        <v>1007</v>
      </c>
      <c r="C14" s="4" t="s">
        <v>1008</v>
      </c>
      <c r="D14" s="4" t="s">
        <v>1009</v>
      </c>
      <c r="E14" s="4" t="s">
        <v>1010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1"/>
    <mergeCell ref="A2:E2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0.0"/>
    <col customWidth="1" min="2" max="2" width="24.0"/>
    <col customWidth="1" min="3" max="3" width="14.0"/>
    <col customWidth="1" min="4" max="4" width="50.0"/>
    <col customWidth="1" min="5" max="5" width="80.0"/>
    <col customWidth="1" min="6" max="26" width="8.63"/>
  </cols>
  <sheetData>
    <row r="1" ht="18.75" customHeight="1">
      <c r="A1" s="1" t="s">
        <v>1011</v>
      </c>
    </row>
    <row r="2" ht="31.5" customHeight="1">
      <c r="A2" s="2" t="s">
        <v>1012</v>
      </c>
    </row>
    <row r="4" ht="30.0" customHeight="1">
      <c r="A4" s="3" t="s">
        <v>1013</v>
      </c>
      <c r="B4" s="3" t="s">
        <v>1014</v>
      </c>
      <c r="C4" s="3" t="s">
        <v>1015</v>
      </c>
      <c r="D4" s="3" t="s">
        <v>969</v>
      </c>
      <c r="E4" s="3" t="s">
        <v>1016</v>
      </c>
    </row>
    <row r="5">
      <c r="A5" s="4" t="s">
        <v>1017</v>
      </c>
      <c r="B5" s="4" t="s">
        <v>1018</v>
      </c>
      <c r="C5" s="4" t="s">
        <v>1019</v>
      </c>
      <c r="D5" s="4" t="s">
        <v>1020</v>
      </c>
      <c r="E5" s="4" t="s">
        <v>1021</v>
      </c>
    </row>
    <row r="6">
      <c r="A6" s="4" t="s">
        <v>1022</v>
      </c>
      <c r="B6" s="4" t="s">
        <v>1023</v>
      </c>
      <c r="C6" s="4" t="s">
        <v>1019</v>
      </c>
      <c r="D6" s="4" t="s">
        <v>1024</v>
      </c>
      <c r="E6" s="4" t="s">
        <v>1025</v>
      </c>
    </row>
    <row r="7">
      <c r="A7" s="4" t="s">
        <v>1026</v>
      </c>
      <c r="B7" s="4" t="s">
        <v>1027</v>
      </c>
      <c r="C7" s="4" t="s">
        <v>1019</v>
      </c>
      <c r="D7" s="4" t="s">
        <v>1028</v>
      </c>
      <c r="E7" s="4" t="s">
        <v>1029</v>
      </c>
    </row>
    <row r="8">
      <c r="A8" s="4" t="s">
        <v>1030</v>
      </c>
      <c r="B8" s="4" t="s">
        <v>1031</v>
      </c>
      <c r="C8" s="4" t="s">
        <v>1032</v>
      </c>
      <c r="D8" s="4" t="s">
        <v>1033</v>
      </c>
      <c r="E8" s="4" t="s">
        <v>1034</v>
      </c>
    </row>
    <row r="9">
      <c r="A9" s="4" t="s">
        <v>1035</v>
      </c>
      <c r="B9" s="4" t="s">
        <v>1036</v>
      </c>
      <c r="C9" s="4" t="s">
        <v>1019</v>
      </c>
      <c r="D9" s="4" t="s">
        <v>1037</v>
      </c>
      <c r="E9" s="4" t="s">
        <v>1038</v>
      </c>
    </row>
    <row r="10">
      <c r="A10" s="4" t="s">
        <v>1039</v>
      </c>
      <c r="B10" s="4" t="s">
        <v>1027</v>
      </c>
      <c r="C10" s="4" t="s">
        <v>1040</v>
      </c>
      <c r="D10" s="4" t="s">
        <v>1041</v>
      </c>
      <c r="E10" s="4" t="s">
        <v>1042</v>
      </c>
    </row>
    <row r="11">
      <c r="A11" s="4" t="s">
        <v>1043</v>
      </c>
      <c r="B11" s="4" t="s">
        <v>1044</v>
      </c>
      <c r="C11" s="4" t="s">
        <v>1040</v>
      </c>
      <c r="D11" s="4" t="s">
        <v>1045</v>
      </c>
      <c r="E11" s="4" t="s">
        <v>1046</v>
      </c>
    </row>
    <row r="12">
      <c r="A12" s="4" t="s">
        <v>1047</v>
      </c>
      <c r="B12" s="4" t="s">
        <v>1048</v>
      </c>
      <c r="C12" s="4" t="s">
        <v>1032</v>
      </c>
      <c r="D12" s="4" t="s">
        <v>1049</v>
      </c>
      <c r="E12" s="4" t="s">
        <v>1050</v>
      </c>
    </row>
    <row r="13">
      <c r="A13" s="4" t="s">
        <v>1051</v>
      </c>
      <c r="B13" s="4" t="s">
        <v>1051</v>
      </c>
      <c r="C13" s="4" t="s">
        <v>1040</v>
      </c>
      <c r="D13" s="4" t="s">
        <v>1052</v>
      </c>
      <c r="E13" s="4" t="s">
        <v>1053</v>
      </c>
    </row>
    <row r="14">
      <c r="A14" s="4" t="s">
        <v>1054</v>
      </c>
      <c r="B14" s="4" t="s">
        <v>1055</v>
      </c>
      <c r="C14" s="4" t="s">
        <v>1040</v>
      </c>
      <c r="D14" s="4" t="s">
        <v>1056</v>
      </c>
      <c r="E14" s="4" t="s">
        <v>1057</v>
      </c>
    </row>
    <row r="15">
      <c r="A15" s="4" t="s">
        <v>1058</v>
      </c>
      <c r="B15" s="4" t="s">
        <v>1059</v>
      </c>
      <c r="C15" s="4" t="s">
        <v>1019</v>
      </c>
      <c r="D15" s="4" t="s">
        <v>1060</v>
      </c>
      <c r="E15" s="4" t="s">
        <v>1061</v>
      </c>
    </row>
    <row r="16">
      <c r="A16" s="4" t="s">
        <v>1062</v>
      </c>
      <c r="B16" s="4" t="s">
        <v>1063</v>
      </c>
      <c r="C16" s="4" t="s">
        <v>1019</v>
      </c>
      <c r="D16" s="4" t="s">
        <v>1064</v>
      </c>
      <c r="E16" s="4" t="s">
        <v>1065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1"/>
    <mergeCell ref="A2:E2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0"/>
    <col customWidth="1" min="2" max="2" width="32.0"/>
    <col customWidth="1" min="3" max="3" width="68.0"/>
    <col customWidth="1" min="4" max="4" width="72.0"/>
    <col customWidth="1" min="5" max="5" width="55.0"/>
    <col customWidth="1" min="6" max="6" width="52.0"/>
    <col customWidth="1" min="7" max="26" width="8.63"/>
  </cols>
  <sheetData>
    <row r="1" ht="18.75" customHeight="1">
      <c r="A1" s="1" t="s">
        <v>1066</v>
      </c>
    </row>
    <row r="2" ht="31.5" customHeight="1">
      <c r="A2" s="2" t="s">
        <v>1067</v>
      </c>
    </row>
    <row r="4" ht="30.0" customHeight="1">
      <c r="A4" s="3" t="s">
        <v>1068</v>
      </c>
      <c r="B4" s="3" t="s">
        <v>1069</v>
      </c>
      <c r="C4" s="3" t="s">
        <v>1070</v>
      </c>
      <c r="D4" s="3" t="s">
        <v>1071</v>
      </c>
      <c r="E4" s="3" t="s">
        <v>1072</v>
      </c>
      <c r="F4" s="3" t="s">
        <v>251</v>
      </c>
    </row>
    <row r="5">
      <c r="A5" s="4" t="s">
        <v>1073</v>
      </c>
      <c r="B5" s="4" t="s">
        <v>1074</v>
      </c>
      <c r="C5" s="4" t="s">
        <v>1075</v>
      </c>
      <c r="D5" s="4" t="s">
        <v>1076</v>
      </c>
      <c r="E5" s="4" t="s">
        <v>1077</v>
      </c>
      <c r="F5" s="4" t="s">
        <v>1078</v>
      </c>
    </row>
    <row r="6">
      <c r="A6" s="4" t="s">
        <v>1079</v>
      </c>
      <c r="B6" s="4" t="s">
        <v>1080</v>
      </c>
      <c r="C6" s="4" t="s">
        <v>1081</v>
      </c>
      <c r="D6" s="4" t="s">
        <v>1082</v>
      </c>
      <c r="E6" s="4" t="s">
        <v>1083</v>
      </c>
      <c r="F6" s="4" t="s">
        <v>1084</v>
      </c>
    </row>
    <row r="7">
      <c r="A7" s="4" t="s">
        <v>1085</v>
      </c>
      <c r="B7" s="4" t="s">
        <v>1086</v>
      </c>
      <c r="C7" s="4" t="s">
        <v>1087</v>
      </c>
      <c r="D7" s="4" t="s">
        <v>1088</v>
      </c>
      <c r="E7" s="4" t="s">
        <v>1089</v>
      </c>
      <c r="F7" s="4" t="s">
        <v>1090</v>
      </c>
    </row>
    <row r="8">
      <c r="A8" s="4" t="s">
        <v>1091</v>
      </c>
      <c r="B8" s="4" t="s">
        <v>1092</v>
      </c>
      <c r="C8" s="4" t="s">
        <v>1093</v>
      </c>
      <c r="D8" s="4" t="s">
        <v>1094</v>
      </c>
      <c r="E8" s="4" t="s">
        <v>1095</v>
      </c>
      <c r="F8" s="4" t="s">
        <v>1096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:F2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2.0"/>
    <col customWidth="1" min="2" max="2" width="90.0"/>
    <col customWidth="1" min="3" max="3" width="70.0"/>
    <col customWidth="1" min="4" max="26" width="8.63"/>
  </cols>
  <sheetData>
    <row r="1" ht="18.75" customHeight="1">
      <c r="A1" s="1" t="s">
        <v>1097</v>
      </c>
    </row>
    <row r="2" ht="31.5" customHeight="1">
      <c r="A2" s="2" t="s">
        <v>1098</v>
      </c>
    </row>
    <row r="4" ht="30.0" customHeight="1">
      <c r="A4" s="3" t="s">
        <v>1099</v>
      </c>
      <c r="B4" s="3" t="s">
        <v>1100</v>
      </c>
      <c r="C4" s="3" t="s">
        <v>1101</v>
      </c>
    </row>
    <row r="5">
      <c r="A5" s="4" t="s">
        <v>1102</v>
      </c>
      <c r="B5" s="4" t="s">
        <v>1103</v>
      </c>
      <c r="C5" s="4" t="s">
        <v>1104</v>
      </c>
    </row>
    <row r="6">
      <c r="A6" s="4" t="s">
        <v>1105</v>
      </c>
      <c r="B6" s="4" t="s">
        <v>237</v>
      </c>
      <c r="C6" s="4" t="s">
        <v>1106</v>
      </c>
    </row>
    <row r="7">
      <c r="A7" s="4" t="s">
        <v>1107</v>
      </c>
      <c r="B7" s="4" t="s">
        <v>226</v>
      </c>
      <c r="C7" s="4" t="s">
        <v>1108</v>
      </c>
    </row>
    <row r="8">
      <c r="A8" s="4" t="s">
        <v>1109</v>
      </c>
      <c r="B8" s="4" t="s">
        <v>1110</v>
      </c>
      <c r="C8" s="4" t="s">
        <v>1111</v>
      </c>
    </row>
    <row r="9">
      <c r="A9" s="4" t="s">
        <v>1112</v>
      </c>
      <c r="B9" s="4" t="s">
        <v>160</v>
      </c>
      <c r="C9" s="4" t="s">
        <v>1113</v>
      </c>
    </row>
    <row r="10">
      <c r="A10" s="4" t="s">
        <v>1114</v>
      </c>
      <c r="B10" s="4" t="s">
        <v>127</v>
      </c>
      <c r="C10" s="4" t="s">
        <v>1115</v>
      </c>
    </row>
    <row r="11">
      <c r="A11" s="4" t="s">
        <v>1116</v>
      </c>
      <c r="B11" s="4" t="s">
        <v>215</v>
      </c>
      <c r="C11" s="4" t="s">
        <v>1117</v>
      </c>
    </row>
    <row r="12">
      <c r="A12" s="4" t="s">
        <v>1118</v>
      </c>
      <c r="B12" s="4" t="s">
        <v>1119</v>
      </c>
      <c r="C12" s="4" t="s">
        <v>1120</v>
      </c>
    </row>
    <row r="13">
      <c r="A13" s="4" t="s">
        <v>1121</v>
      </c>
      <c r="B13" s="4" t="s">
        <v>1122</v>
      </c>
      <c r="C13" s="4" t="s">
        <v>1123</v>
      </c>
    </row>
    <row r="14">
      <c r="A14" s="4" t="s">
        <v>1124</v>
      </c>
      <c r="B14" s="4" t="s">
        <v>1125</v>
      </c>
      <c r="C14" s="4" t="s">
        <v>1126</v>
      </c>
    </row>
    <row r="15">
      <c r="A15" s="4" t="s">
        <v>1127</v>
      </c>
      <c r="B15" s="4" t="s">
        <v>138</v>
      </c>
      <c r="C15" s="4" t="s">
        <v>1128</v>
      </c>
    </row>
    <row r="16">
      <c r="A16" s="4" t="s">
        <v>1129</v>
      </c>
      <c r="B16" s="4" t="s">
        <v>1130</v>
      </c>
      <c r="C16" s="4" t="s">
        <v>1131</v>
      </c>
    </row>
    <row r="17">
      <c r="A17" s="4" t="s">
        <v>1132</v>
      </c>
      <c r="B17" s="4" t="s">
        <v>1133</v>
      </c>
      <c r="C17" s="4" t="s">
        <v>1134</v>
      </c>
    </row>
    <row r="18">
      <c r="A18" s="4" t="s">
        <v>1135</v>
      </c>
      <c r="B18" s="4" t="s">
        <v>182</v>
      </c>
      <c r="C18" s="4" t="s">
        <v>1136</v>
      </c>
    </row>
    <row r="19">
      <c r="A19" s="4" t="s">
        <v>1137</v>
      </c>
      <c r="B19" s="4" t="s">
        <v>1138</v>
      </c>
      <c r="C19" s="4" t="s">
        <v>1139</v>
      </c>
    </row>
    <row r="20">
      <c r="A20" s="4" t="s">
        <v>1140</v>
      </c>
      <c r="B20" s="4" t="s">
        <v>1141</v>
      </c>
      <c r="C20" s="4" t="s">
        <v>1142</v>
      </c>
    </row>
    <row r="21" ht="15.75" customHeight="1">
      <c r="A21" s="4" t="s">
        <v>1143</v>
      </c>
      <c r="B21" s="4" t="s">
        <v>1144</v>
      </c>
      <c r="C21" s="4" t="s">
        <v>1145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C1"/>
    <mergeCell ref="A2:C2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18.0"/>
    <col customWidth="1" min="4" max="4" width="48.0"/>
    <col customWidth="1" min="5" max="26" width="8.63"/>
  </cols>
  <sheetData>
    <row r="1" ht="18.75" customHeight="1">
      <c r="A1" s="1" t="s">
        <v>1146</v>
      </c>
    </row>
    <row r="2" ht="31.5" customHeight="1">
      <c r="A2" s="2" t="s">
        <v>1147</v>
      </c>
    </row>
    <row r="4">
      <c r="A4" s="5" t="s">
        <v>247</v>
      </c>
      <c r="B4" s="5" t="s">
        <v>248</v>
      </c>
      <c r="C4" s="5" t="s">
        <v>243</v>
      </c>
      <c r="D4" s="5" t="s">
        <v>1017</v>
      </c>
    </row>
    <row r="5">
      <c r="A5" s="8" t="s">
        <v>259</v>
      </c>
      <c r="B5" s="8" t="s">
        <v>260</v>
      </c>
      <c r="C5" s="8" t="s">
        <v>255</v>
      </c>
      <c r="D5" s="8" t="s">
        <v>73</v>
      </c>
    </row>
    <row r="6">
      <c r="A6" s="8" t="s">
        <v>699</v>
      </c>
      <c r="B6" s="8" t="s">
        <v>1148</v>
      </c>
      <c r="C6" s="8" t="s">
        <v>267</v>
      </c>
      <c r="D6" s="8" t="s">
        <v>84</v>
      </c>
    </row>
    <row r="7">
      <c r="A7" s="8" t="s">
        <v>898</v>
      </c>
      <c r="B7" s="8" t="s">
        <v>1149</v>
      </c>
      <c r="C7" s="8" t="s">
        <v>315</v>
      </c>
      <c r="D7" s="8" t="s">
        <v>95</v>
      </c>
    </row>
    <row r="8">
      <c r="A8" s="8"/>
      <c r="B8" s="8" t="s">
        <v>1150</v>
      </c>
      <c r="C8" s="8" t="s">
        <v>1151</v>
      </c>
      <c r="D8" s="8" t="s">
        <v>106</v>
      </c>
    </row>
    <row r="9">
      <c r="A9" s="8"/>
      <c r="B9" s="8" t="s">
        <v>1152</v>
      </c>
      <c r="C9" s="8" t="s">
        <v>1153</v>
      </c>
      <c r="D9" s="8" t="s">
        <v>117</v>
      </c>
    </row>
    <row r="10">
      <c r="A10" s="8"/>
      <c r="B10" s="8" t="s">
        <v>1154</v>
      </c>
      <c r="C10" s="8" t="s">
        <v>1155</v>
      </c>
      <c r="D10" s="8" t="s">
        <v>128</v>
      </c>
    </row>
    <row r="11">
      <c r="A11" s="8"/>
      <c r="B11" s="8"/>
      <c r="C11" s="8"/>
      <c r="D11" s="8" t="s">
        <v>139</v>
      </c>
    </row>
    <row r="12">
      <c r="A12" s="8"/>
      <c r="B12" s="8"/>
      <c r="C12" s="8"/>
      <c r="D12" s="8" t="s">
        <v>150</v>
      </c>
    </row>
    <row r="13">
      <c r="A13" s="8"/>
      <c r="B13" s="8"/>
      <c r="C13" s="8"/>
      <c r="D13" s="8" t="s">
        <v>161</v>
      </c>
    </row>
    <row r="14">
      <c r="A14" s="8"/>
      <c r="B14" s="8"/>
      <c r="C14" s="8"/>
      <c r="D14" s="8" t="s">
        <v>172</v>
      </c>
    </row>
    <row r="15">
      <c r="A15" s="8"/>
      <c r="B15" s="8"/>
      <c r="C15" s="8"/>
      <c r="D15" s="8" t="s">
        <v>183</v>
      </c>
    </row>
    <row r="16">
      <c r="A16" s="8"/>
      <c r="B16" s="8"/>
      <c r="C16" s="8"/>
      <c r="D16" s="8" t="s">
        <v>194</v>
      </c>
    </row>
    <row r="17">
      <c r="A17" s="8"/>
      <c r="B17" s="8"/>
      <c r="C17" s="8"/>
      <c r="D17" s="8" t="s">
        <v>205</v>
      </c>
    </row>
    <row r="18">
      <c r="A18" s="8"/>
      <c r="B18" s="8"/>
      <c r="C18" s="8"/>
      <c r="D18" s="8" t="s">
        <v>216</v>
      </c>
    </row>
    <row r="19">
      <c r="A19" s="8"/>
      <c r="B19" s="8"/>
      <c r="C19" s="8"/>
      <c r="D19" s="8" t="s">
        <v>227</v>
      </c>
    </row>
    <row r="20">
      <c r="A20" s="8"/>
      <c r="B20" s="8"/>
      <c r="C20" s="8"/>
      <c r="D20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D1"/>
    <mergeCell ref="A2:D2"/>
  </mergeCells>
  <printOptions/>
  <pageMargins bottom="0.75" footer="0.0" header="0.0" left="0.7" right="0.7" top="0.75"/>
  <pageSetup orientation="landscape"/>
  <drawing r:id="rId1"/>
</worksheet>
</file>